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Backup Wulan 081025\8. RAKER  TAHUNAN\4. RAKER RAPB 2025-2026\"/>
    </mc:Choice>
  </mc:AlternateContent>
  <xr:revisionPtr revIDLastSave="0" documentId="13_ncr:1_{A2A912F1-1354-49E1-B631-91BA95A78A5F}" xr6:coauthVersionLast="36" xr6:coauthVersionMax="36" xr10:uidLastSave="{00000000-0000-0000-0000-000000000000}"/>
  <bookViews>
    <workbookView xWindow="-120" yWindow="-120" windowWidth="20730" windowHeight="11160" activeTab="2" xr2:uid="{00000000-000D-0000-FFFF-FFFF00000000}"/>
  </bookViews>
  <sheets>
    <sheet name="Setup" sheetId="1" r:id="rId1"/>
    <sheet name="Income" sheetId="2" r:id="rId2"/>
    <sheet name="Expenses" sheetId="3" r:id="rId3"/>
    <sheet name="Summary" sheetId="4" r:id="rId4"/>
  </sheets>
  <definedNames>
    <definedName name="A">Expenses!$1:$1048576</definedName>
    <definedName name="Balance">Setup!$C$11</definedName>
    <definedName name="_xlnm.Print_Area" localSheetId="3">Summary!$D$27:$Y$44</definedName>
  </definedNames>
  <calcPr calcId="191029"/>
</workbook>
</file>

<file path=xl/calcChain.xml><?xml version="1.0" encoding="utf-8"?>
<calcChain xmlns="http://schemas.openxmlformats.org/spreadsheetml/2006/main">
  <c r="E34" i="4" l="1"/>
  <c r="S41" i="3" l="1"/>
  <c r="R66" i="3"/>
  <c r="R67" i="3"/>
  <c r="R68" i="3"/>
  <c r="R65" i="3"/>
  <c r="R8" i="3"/>
  <c r="R3" i="3"/>
  <c r="R4" i="3"/>
  <c r="Q2" i="3"/>
  <c r="S29" i="3"/>
  <c r="S104" i="3"/>
  <c r="S102" i="3"/>
  <c r="L101" i="3"/>
  <c r="S98" i="3"/>
  <c r="S94" i="3"/>
  <c r="S90" i="3"/>
  <c r="S85" i="3"/>
  <c r="S86" i="3"/>
  <c r="S87" i="3"/>
  <c r="S81" i="3"/>
  <c r="S80" i="3"/>
  <c r="S75" i="3"/>
  <c r="S74" i="3"/>
  <c r="S73" i="3"/>
  <c r="S72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46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30" i="3"/>
  <c r="S31" i="3"/>
  <c r="S32" i="3"/>
  <c r="S33" i="3"/>
  <c r="S34" i="3"/>
  <c r="S35" i="3"/>
  <c r="S36" i="3"/>
  <c r="S37" i="3"/>
  <c r="S38" i="3"/>
  <c r="S39" i="3"/>
  <c r="S40" i="3"/>
  <c r="S42" i="3"/>
  <c r="S8" i="3"/>
  <c r="S4" i="3"/>
  <c r="S3" i="3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5" i="2"/>
  <c r="R4" i="2"/>
  <c r="R3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4" i="2"/>
  <c r="S5" i="2"/>
  <c r="S3" i="2"/>
  <c r="P32" i="4" l="1"/>
  <c r="O32" i="4"/>
  <c r="N32" i="4"/>
  <c r="M32" i="4"/>
  <c r="L32" i="4"/>
  <c r="K32" i="4"/>
  <c r="J32" i="4"/>
  <c r="I32" i="4"/>
  <c r="H32" i="4"/>
  <c r="G32" i="4"/>
  <c r="F32" i="4"/>
  <c r="E32" i="4"/>
  <c r="P27" i="4"/>
  <c r="O27" i="4"/>
  <c r="N27" i="4"/>
  <c r="M27" i="4"/>
  <c r="L27" i="4"/>
  <c r="K27" i="4"/>
  <c r="J27" i="4"/>
  <c r="I27" i="4"/>
  <c r="H27" i="4"/>
  <c r="G27" i="4"/>
  <c r="F27" i="4"/>
  <c r="E27" i="4"/>
  <c r="Q20" i="4"/>
  <c r="R20" i="4"/>
  <c r="S20" i="4"/>
  <c r="T20" i="4"/>
  <c r="U20" i="4"/>
  <c r="V20" i="4"/>
  <c r="W20" i="4"/>
  <c r="X20" i="4"/>
  <c r="P20" i="4"/>
  <c r="O20" i="4"/>
  <c r="N20" i="4"/>
  <c r="M20" i="4"/>
  <c r="L20" i="4"/>
  <c r="K20" i="4"/>
  <c r="J20" i="4"/>
  <c r="I20" i="4"/>
  <c r="H20" i="4"/>
  <c r="G20" i="4"/>
  <c r="F20" i="4"/>
  <c r="E20" i="4"/>
  <c r="Q45" i="3" l="1"/>
  <c r="F89" i="3"/>
  <c r="G89" i="3"/>
  <c r="O7" i="3"/>
  <c r="M7" i="3"/>
  <c r="L7" i="3"/>
  <c r="K7" i="3"/>
  <c r="J7" i="3"/>
  <c r="I7" i="3"/>
  <c r="H7" i="3"/>
  <c r="G7" i="3"/>
  <c r="F7" i="3"/>
  <c r="Q8" i="2"/>
  <c r="P8" i="2"/>
  <c r="P2" i="2"/>
  <c r="N93" i="3" l="1"/>
  <c r="O93" i="3"/>
  <c r="N89" i="3"/>
  <c r="O89" i="3"/>
  <c r="N84" i="3"/>
  <c r="O84" i="3"/>
  <c r="N79" i="3"/>
  <c r="O79" i="3"/>
  <c r="N71" i="3"/>
  <c r="O71" i="3"/>
  <c r="N45" i="3"/>
  <c r="N7" i="3"/>
  <c r="N8" i="2"/>
  <c r="O8" i="2"/>
  <c r="Q27" i="4" l="1"/>
  <c r="R27" i="4"/>
  <c r="S27" i="4"/>
  <c r="T27" i="4"/>
  <c r="U27" i="4"/>
  <c r="V27" i="4"/>
  <c r="W27" i="4"/>
  <c r="O29" i="4"/>
  <c r="O28" i="4"/>
  <c r="N2" i="2"/>
  <c r="M28" i="4" s="1"/>
  <c r="M40" i="4"/>
  <c r="M41" i="4"/>
  <c r="M42" i="4"/>
  <c r="M43" i="4"/>
  <c r="M44" i="4"/>
  <c r="M36" i="4"/>
  <c r="M37" i="4"/>
  <c r="M38" i="4"/>
  <c r="M39" i="4"/>
  <c r="M35" i="4"/>
  <c r="M34" i="4"/>
  <c r="M29" i="4"/>
  <c r="N2" i="3"/>
  <c r="M33" i="4" s="1"/>
  <c r="M22" i="4" l="1"/>
  <c r="M21" i="4"/>
  <c r="M24" i="4" l="1"/>
  <c r="M23" i="4"/>
  <c r="O21" i="4" l="1"/>
  <c r="P2" i="3"/>
  <c r="O33" i="4" s="1"/>
  <c r="P7" i="3"/>
  <c r="P112" i="3"/>
  <c r="O44" i="4" s="1"/>
  <c r="P107" i="3"/>
  <c r="O43" i="4" s="1"/>
  <c r="P101" i="3"/>
  <c r="O42" i="4" s="1"/>
  <c r="P97" i="3"/>
  <c r="O41" i="4" s="1"/>
  <c r="P93" i="3"/>
  <c r="O40" i="4" s="1"/>
  <c r="P89" i="3"/>
  <c r="O39" i="4" s="1"/>
  <c r="P84" i="3"/>
  <c r="O38" i="4" s="1"/>
  <c r="P79" i="3"/>
  <c r="O37" i="4" s="1"/>
  <c r="P71" i="3"/>
  <c r="O36" i="4" s="1"/>
  <c r="P45" i="3"/>
  <c r="O35" i="4" s="1"/>
  <c r="O34" i="4" l="1"/>
  <c r="O22" i="4"/>
  <c r="O24" i="4"/>
  <c r="O23" i="4"/>
  <c r="E60" i="4" l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Q43" i="4"/>
  <c r="J40" i="4"/>
  <c r="X27" i="4"/>
  <c r="S113" i="3"/>
  <c r="R113" i="3"/>
  <c r="X44" i="4"/>
  <c r="W44" i="4"/>
  <c r="V44" i="4"/>
  <c r="U44" i="4"/>
  <c r="T44" i="4"/>
  <c r="S44" i="4"/>
  <c r="R44" i="4"/>
  <c r="Q44" i="4"/>
  <c r="Q112" i="3"/>
  <c r="P44" i="4" s="1"/>
  <c r="O112" i="3"/>
  <c r="N44" i="4" s="1"/>
  <c r="M112" i="3"/>
  <c r="L44" i="4" s="1"/>
  <c r="L112" i="3"/>
  <c r="K44" i="4" s="1"/>
  <c r="K112" i="3"/>
  <c r="J44" i="4" s="1"/>
  <c r="J112" i="3"/>
  <c r="I44" i="4" s="1"/>
  <c r="I112" i="3"/>
  <c r="H44" i="4" s="1"/>
  <c r="H112" i="3"/>
  <c r="G44" i="4" s="1"/>
  <c r="G112" i="3"/>
  <c r="F44" i="4" s="1"/>
  <c r="F112" i="3"/>
  <c r="S108" i="3"/>
  <c r="R108" i="3"/>
  <c r="X43" i="4"/>
  <c r="W43" i="4"/>
  <c r="V43" i="4"/>
  <c r="U43" i="4"/>
  <c r="T43" i="4"/>
  <c r="S43" i="4"/>
  <c r="R43" i="4"/>
  <c r="Q107" i="3"/>
  <c r="P43" i="4" s="1"/>
  <c r="O107" i="3"/>
  <c r="N43" i="4" s="1"/>
  <c r="M107" i="3"/>
  <c r="L43" i="4" s="1"/>
  <c r="L107" i="3"/>
  <c r="K43" i="4" s="1"/>
  <c r="K107" i="3"/>
  <c r="J43" i="4" s="1"/>
  <c r="J107" i="3"/>
  <c r="I43" i="4" s="1"/>
  <c r="I107" i="3"/>
  <c r="H43" i="4" s="1"/>
  <c r="H107" i="3"/>
  <c r="G43" i="4" s="1"/>
  <c r="G107" i="3"/>
  <c r="F43" i="4" s="1"/>
  <c r="F107" i="3"/>
  <c r="X42" i="4"/>
  <c r="W42" i="4"/>
  <c r="V42" i="4"/>
  <c r="U42" i="4"/>
  <c r="T42" i="4"/>
  <c r="S42" i="4"/>
  <c r="R42" i="4"/>
  <c r="Q42" i="4"/>
  <c r="Q101" i="3"/>
  <c r="P42" i="4" s="1"/>
  <c r="O101" i="3"/>
  <c r="N42" i="4" s="1"/>
  <c r="M101" i="3"/>
  <c r="L42" i="4" s="1"/>
  <c r="R98" i="3"/>
  <c r="X41" i="4"/>
  <c r="W41" i="4"/>
  <c r="V41" i="4"/>
  <c r="U41" i="4"/>
  <c r="T41" i="4"/>
  <c r="S41" i="4"/>
  <c r="R41" i="4"/>
  <c r="Q41" i="4"/>
  <c r="Q97" i="3"/>
  <c r="O97" i="3"/>
  <c r="N41" i="4" s="1"/>
  <c r="M97" i="3"/>
  <c r="L41" i="4" s="1"/>
  <c r="L97" i="3"/>
  <c r="K41" i="4" s="1"/>
  <c r="K97" i="3"/>
  <c r="J41" i="4" s="1"/>
  <c r="J97" i="3"/>
  <c r="I41" i="4" s="1"/>
  <c r="I97" i="3"/>
  <c r="H41" i="4" s="1"/>
  <c r="H97" i="3"/>
  <c r="G97" i="3"/>
  <c r="F41" i="4" s="1"/>
  <c r="F97" i="3"/>
  <c r="R94" i="3"/>
  <c r="X40" i="4"/>
  <c r="W40" i="4"/>
  <c r="V40" i="4"/>
  <c r="U40" i="4"/>
  <c r="T40" i="4"/>
  <c r="S40" i="4"/>
  <c r="R40" i="4"/>
  <c r="Q40" i="4"/>
  <c r="Q93" i="3"/>
  <c r="N40" i="4"/>
  <c r="M93" i="3"/>
  <c r="L40" i="4" s="1"/>
  <c r="L93" i="3"/>
  <c r="K40" i="4" s="1"/>
  <c r="J93" i="3"/>
  <c r="I40" i="4" s="1"/>
  <c r="I93" i="3"/>
  <c r="H40" i="4" s="1"/>
  <c r="H93" i="3"/>
  <c r="G40" i="4" s="1"/>
  <c r="G93" i="3"/>
  <c r="F40" i="4" s="1"/>
  <c r="F93" i="3"/>
  <c r="E40" i="4" s="1"/>
  <c r="R90" i="3"/>
  <c r="X39" i="4"/>
  <c r="W39" i="4"/>
  <c r="V39" i="4"/>
  <c r="U39" i="4"/>
  <c r="T39" i="4"/>
  <c r="S39" i="4"/>
  <c r="R39" i="4"/>
  <c r="Q39" i="4"/>
  <c r="Q89" i="3"/>
  <c r="N39" i="4"/>
  <c r="M89" i="3"/>
  <c r="L39" i="4" s="1"/>
  <c r="L89" i="3"/>
  <c r="K39" i="4" s="1"/>
  <c r="K89" i="3"/>
  <c r="J39" i="4" s="1"/>
  <c r="J89" i="3"/>
  <c r="I39" i="4" s="1"/>
  <c r="I89" i="3"/>
  <c r="H39" i="4" s="1"/>
  <c r="H89" i="3"/>
  <c r="G39" i="4" s="1"/>
  <c r="F39" i="4"/>
  <c r="R87" i="3"/>
  <c r="R86" i="3"/>
  <c r="R85" i="3"/>
  <c r="X38" i="4"/>
  <c r="W38" i="4"/>
  <c r="V38" i="4"/>
  <c r="U38" i="4"/>
  <c r="T38" i="4"/>
  <c r="S38" i="4"/>
  <c r="R38" i="4"/>
  <c r="Q38" i="4"/>
  <c r="Q84" i="3"/>
  <c r="P38" i="4" s="1"/>
  <c r="N38" i="4"/>
  <c r="M84" i="3"/>
  <c r="L38" i="4" s="1"/>
  <c r="L84" i="3"/>
  <c r="K38" i="4" s="1"/>
  <c r="K84" i="3"/>
  <c r="J38" i="4" s="1"/>
  <c r="J84" i="3"/>
  <c r="I38" i="4" s="1"/>
  <c r="I84" i="3"/>
  <c r="H38" i="4" s="1"/>
  <c r="H84" i="3"/>
  <c r="G38" i="4" s="1"/>
  <c r="G84" i="3"/>
  <c r="F38" i="4" s="1"/>
  <c r="F84" i="3"/>
  <c r="E38" i="4" s="1"/>
  <c r="R81" i="3"/>
  <c r="R80" i="3"/>
  <c r="X37" i="4"/>
  <c r="W37" i="4"/>
  <c r="V37" i="4"/>
  <c r="U37" i="4"/>
  <c r="T37" i="4"/>
  <c r="S37" i="4"/>
  <c r="R37" i="4"/>
  <c r="Q37" i="4"/>
  <c r="Q79" i="3"/>
  <c r="N37" i="4"/>
  <c r="M79" i="3"/>
  <c r="L37" i="4" s="1"/>
  <c r="L79" i="3"/>
  <c r="K37" i="4" s="1"/>
  <c r="K79" i="3"/>
  <c r="J37" i="4" s="1"/>
  <c r="J79" i="3"/>
  <c r="I37" i="4" s="1"/>
  <c r="I79" i="3"/>
  <c r="H37" i="4" s="1"/>
  <c r="H79" i="3"/>
  <c r="G37" i="4" s="1"/>
  <c r="G79" i="3"/>
  <c r="F37" i="4" s="1"/>
  <c r="F79" i="3"/>
  <c r="E37" i="4" s="1"/>
  <c r="R74" i="3"/>
  <c r="R73" i="3"/>
  <c r="R72" i="3"/>
  <c r="X36" i="4"/>
  <c r="W36" i="4"/>
  <c r="V36" i="4"/>
  <c r="U36" i="4"/>
  <c r="T36" i="4"/>
  <c r="S36" i="4"/>
  <c r="R36" i="4"/>
  <c r="Q36" i="4"/>
  <c r="Q71" i="3"/>
  <c r="N36" i="4"/>
  <c r="M71" i="3"/>
  <c r="L36" i="4" s="1"/>
  <c r="L71" i="3"/>
  <c r="K36" i="4" s="1"/>
  <c r="K71" i="3"/>
  <c r="J36" i="4" s="1"/>
  <c r="J71" i="3"/>
  <c r="I36" i="4" s="1"/>
  <c r="I71" i="3"/>
  <c r="H36" i="4" s="1"/>
  <c r="H71" i="3"/>
  <c r="G36" i="4" s="1"/>
  <c r="G71" i="3"/>
  <c r="F36" i="4" s="1"/>
  <c r="F71" i="3"/>
  <c r="E36" i="4" s="1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X35" i="4"/>
  <c r="W35" i="4"/>
  <c r="V35" i="4"/>
  <c r="U35" i="4"/>
  <c r="T35" i="4"/>
  <c r="S35" i="4"/>
  <c r="R35" i="4"/>
  <c r="Q35" i="4"/>
  <c r="P35" i="4"/>
  <c r="O45" i="3"/>
  <c r="N35" i="4" s="1"/>
  <c r="M45" i="3"/>
  <c r="L35" i="4" s="1"/>
  <c r="L45" i="3"/>
  <c r="K35" i="4" s="1"/>
  <c r="K45" i="3"/>
  <c r="J35" i="4" s="1"/>
  <c r="J45" i="3"/>
  <c r="I35" i="4" s="1"/>
  <c r="I45" i="3"/>
  <c r="H35" i="4" s="1"/>
  <c r="H45" i="3"/>
  <c r="G35" i="4" s="1"/>
  <c r="G45" i="3"/>
  <c r="F35" i="4" s="1"/>
  <c r="F45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X34" i="4"/>
  <c r="W34" i="4"/>
  <c r="V34" i="4"/>
  <c r="U34" i="4"/>
  <c r="T34" i="4"/>
  <c r="S34" i="4"/>
  <c r="R34" i="4"/>
  <c r="Q34" i="4"/>
  <c r="Q7" i="3"/>
  <c r="R7" i="3" s="1"/>
  <c r="N34" i="4"/>
  <c r="L34" i="4"/>
  <c r="K34" i="4"/>
  <c r="J34" i="4"/>
  <c r="I34" i="4"/>
  <c r="H34" i="4"/>
  <c r="G34" i="4"/>
  <c r="F34" i="4"/>
  <c r="X33" i="4"/>
  <c r="W33" i="4"/>
  <c r="V33" i="4"/>
  <c r="U33" i="4"/>
  <c r="T33" i="4"/>
  <c r="S33" i="4"/>
  <c r="R33" i="4"/>
  <c r="Q33" i="4"/>
  <c r="O2" i="3"/>
  <c r="N33" i="4" s="1"/>
  <c r="M2" i="3"/>
  <c r="L33" i="4" s="1"/>
  <c r="L2" i="3"/>
  <c r="K2" i="3"/>
  <c r="J33" i="4" s="1"/>
  <c r="J2" i="3"/>
  <c r="I2" i="3"/>
  <c r="H33" i="4" s="1"/>
  <c r="H2" i="3"/>
  <c r="G33" i="4" s="1"/>
  <c r="G2" i="3"/>
  <c r="F33" i="4" s="1"/>
  <c r="F2" i="3"/>
  <c r="X29" i="4"/>
  <c r="W29" i="4"/>
  <c r="V29" i="4"/>
  <c r="U29" i="4"/>
  <c r="T29" i="4"/>
  <c r="S29" i="4"/>
  <c r="R29" i="4"/>
  <c r="Q29" i="4"/>
  <c r="P29" i="4"/>
  <c r="N29" i="4"/>
  <c r="M8" i="2"/>
  <c r="L29" i="4" s="1"/>
  <c r="L8" i="2"/>
  <c r="K29" i="4" s="1"/>
  <c r="K8" i="2"/>
  <c r="J29" i="4" s="1"/>
  <c r="J8" i="2"/>
  <c r="I29" i="4" s="1"/>
  <c r="I8" i="2"/>
  <c r="H8" i="2"/>
  <c r="G29" i="4" s="1"/>
  <c r="G8" i="2"/>
  <c r="F29" i="4" s="1"/>
  <c r="F8" i="2"/>
  <c r="M2" i="2"/>
  <c r="L28" i="4" s="1"/>
  <c r="J2" i="2"/>
  <c r="I28" i="4" s="1"/>
  <c r="X28" i="4"/>
  <c r="W28" i="4"/>
  <c r="V28" i="4"/>
  <c r="U28" i="4"/>
  <c r="T28" i="4"/>
  <c r="S28" i="4"/>
  <c r="R28" i="4"/>
  <c r="Q28" i="4"/>
  <c r="Q2" i="2"/>
  <c r="P28" i="4" s="1"/>
  <c r="O2" i="2"/>
  <c r="N28" i="4" s="1"/>
  <c r="L2" i="2"/>
  <c r="K28" i="4" s="1"/>
  <c r="K2" i="2"/>
  <c r="J28" i="4" s="1"/>
  <c r="I2" i="2"/>
  <c r="H2" i="2"/>
  <c r="G28" i="4" s="1"/>
  <c r="G2" i="2"/>
  <c r="F28" i="4" s="1"/>
  <c r="F2" i="2"/>
  <c r="D32" i="4"/>
  <c r="D42" i="4"/>
  <c r="D27" i="4"/>
  <c r="D35" i="4"/>
  <c r="D40" i="4"/>
  <c r="D37" i="4"/>
  <c r="D38" i="4"/>
  <c r="D34" i="4"/>
  <c r="D36" i="4"/>
  <c r="D43" i="4"/>
  <c r="D28" i="4"/>
  <c r="D41" i="4"/>
  <c r="D39" i="4"/>
  <c r="D33" i="4"/>
  <c r="D29" i="4"/>
  <c r="D44" i="4"/>
  <c r="R2" i="3" l="1"/>
  <c r="S8" i="2"/>
  <c r="R71" i="3"/>
  <c r="S2" i="3"/>
  <c r="Z33" i="4" s="1"/>
  <c r="E35" i="4"/>
  <c r="S45" i="3"/>
  <c r="P41" i="4"/>
  <c r="S97" i="3"/>
  <c r="P40" i="4"/>
  <c r="S93" i="3"/>
  <c r="Z40" i="4" s="1"/>
  <c r="P39" i="4"/>
  <c r="S89" i="3"/>
  <c r="Z39" i="4" s="1"/>
  <c r="P37" i="4"/>
  <c r="S79" i="3"/>
  <c r="Z37" i="4" s="1"/>
  <c r="P36" i="4"/>
  <c r="S71" i="3"/>
  <c r="Z36" i="4" s="1"/>
  <c r="P34" i="4"/>
  <c r="S7" i="3"/>
  <c r="Z34" i="4" s="1"/>
  <c r="P33" i="4"/>
  <c r="K33" i="4"/>
  <c r="Y33" i="4"/>
  <c r="S2" i="2"/>
  <c r="Z28" i="4" s="1"/>
  <c r="R2" i="2"/>
  <c r="Y28" i="4" s="1"/>
  <c r="R8" i="2"/>
  <c r="Y29" i="4" s="1"/>
  <c r="H28" i="4"/>
  <c r="Y34" i="4"/>
  <c r="H101" i="3"/>
  <c r="G42" i="4" s="1"/>
  <c r="H29" i="4"/>
  <c r="Z29" i="4"/>
  <c r="X32" i="4"/>
  <c r="V32" i="4"/>
  <c r="E29" i="4"/>
  <c r="Q32" i="4"/>
  <c r="G101" i="3"/>
  <c r="F42" i="4" s="1"/>
  <c r="F22" i="4" s="1"/>
  <c r="E28" i="4"/>
  <c r="E21" i="4"/>
  <c r="S32" i="4"/>
  <c r="U32" i="4"/>
  <c r="I33" i="4"/>
  <c r="L21" i="4"/>
  <c r="A21" i="3"/>
  <c r="W32" i="4"/>
  <c r="T32" i="4"/>
  <c r="R97" i="3"/>
  <c r="Y41" i="4" s="1"/>
  <c r="X22" i="4"/>
  <c r="U22" i="4"/>
  <c r="V22" i="4"/>
  <c r="Y36" i="4"/>
  <c r="S112" i="3"/>
  <c r="Z44" i="4" s="1"/>
  <c r="E44" i="4"/>
  <c r="R112" i="3"/>
  <c r="Y44" i="4" s="1"/>
  <c r="T22" i="4"/>
  <c r="S84" i="3"/>
  <c r="Z38" i="4" s="1"/>
  <c r="S103" i="3"/>
  <c r="R103" i="3"/>
  <c r="I101" i="3"/>
  <c r="H42" i="4" s="1"/>
  <c r="H22" i="4" s="1"/>
  <c r="J101" i="3"/>
  <c r="I42" i="4" s="1"/>
  <c r="E33" i="4"/>
  <c r="N22" i="4"/>
  <c r="W22" i="4"/>
  <c r="R32" i="4"/>
  <c r="R22" i="4"/>
  <c r="S22" i="4"/>
  <c r="Z35" i="4"/>
  <c r="R84" i="3"/>
  <c r="Y38" i="4" s="1"/>
  <c r="G41" i="4"/>
  <c r="G22" i="4" s="1"/>
  <c r="Q22" i="4"/>
  <c r="R79" i="3"/>
  <c r="Y37" i="4" s="1"/>
  <c r="K42" i="4"/>
  <c r="R107" i="3"/>
  <c r="Y43" i="4" s="1"/>
  <c r="E43" i="4"/>
  <c r="P21" i="4"/>
  <c r="R45" i="3"/>
  <c r="Y35" i="4" s="1"/>
  <c r="K101" i="3"/>
  <c r="J42" i="4" s="1"/>
  <c r="J22" i="4" s="1"/>
  <c r="R93" i="3"/>
  <c r="Y40" i="4" s="1"/>
  <c r="R104" i="3"/>
  <c r="S107" i="3"/>
  <c r="Z43" i="4" s="1"/>
  <c r="Z41" i="4"/>
  <c r="E41" i="4"/>
  <c r="T21" i="4"/>
  <c r="F21" i="4"/>
  <c r="J21" i="4"/>
  <c r="S21" i="4"/>
  <c r="I21" i="4"/>
  <c r="W21" i="4"/>
  <c r="X21" i="4"/>
  <c r="Q21" i="4"/>
  <c r="N21" i="4"/>
  <c r="G21" i="4"/>
  <c r="K21" i="4"/>
  <c r="U21" i="4"/>
  <c r="R21" i="4"/>
  <c r="V21" i="4"/>
  <c r="L22" i="4"/>
  <c r="E39" i="4"/>
  <c r="R89" i="3"/>
  <c r="Y39" i="4" s="1"/>
  <c r="K22" i="4" l="1"/>
  <c r="H21" i="4"/>
  <c r="H23" i="4" s="1"/>
  <c r="P22" i="4"/>
  <c r="Z21" i="4"/>
  <c r="T24" i="4"/>
  <c r="I22" i="4"/>
  <c r="I23" i="4" s="1"/>
  <c r="W23" i="4"/>
  <c r="V24" i="4"/>
  <c r="X24" i="4"/>
  <c r="P24" i="4"/>
  <c r="Y21" i="4"/>
  <c r="X23" i="4"/>
  <c r="W24" i="4"/>
  <c r="AA43" i="4"/>
  <c r="U24" i="4"/>
  <c r="R24" i="4"/>
  <c r="N24" i="4"/>
  <c r="F23" i="4"/>
  <c r="T23" i="4"/>
  <c r="J23" i="4"/>
  <c r="L23" i="4"/>
  <c r="V23" i="4"/>
  <c r="N23" i="4"/>
  <c r="Q24" i="4"/>
  <c r="R23" i="4"/>
  <c r="F24" i="4"/>
  <c r="P23" i="4"/>
  <c r="R102" i="3"/>
  <c r="F101" i="3"/>
  <c r="Q23" i="4"/>
  <c r="L24" i="4"/>
  <c r="J24" i="4"/>
  <c r="G24" i="4"/>
  <c r="S23" i="4"/>
  <c r="K23" i="4"/>
  <c r="G23" i="4"/>
  <c r="S24" i="4"/>
  <c r="U23" i="4"/>
  <c r="K24" i="4"/>
  <c r="H24" i="4" l="1"/>
  <c r="I24" i="4"/>
  <c r="R101" i="3"/>
  <c r="Y42" i="4" s="1"/>
  <c r="E42" i="4"/>
  <c r="E22" i="4" s="1"/>
  <c r="S101" i="3"/>
  <c r="Z42" i="4" s="1"/>
  <c r="Z22" i="4" l="1"/>
  <c r="Z23" i="4" s="1"/>
  <c r="Y22" i="4"/>
  <c r="Y23" i="4" s="1"/>
  <c r="E24" i="4"/>
  <c r="E23" i="4"/>
  <c r="Z24" i="4" l="1"/>
  <c r="Y24" i="4"/>
</calcChain>
</file>

<file path=xl/sharedStrings.xml><?xml version="1.0" encoding="utf-8"?>
<sst xmlns="http://schemas.openxmlformats.org/spreadsheetml/2006/main" count="171" uniqueCount="150">
  <si>
    <t>Annual budget tracker</t>
  </si>
  <si>
    <t xml:space="preserve">Plan and track your business income and expenses for the entire year. 
</t>
  </si>
  <si>
    <t>How to use this template</t>
  </si>
  <si>
    <t>1.</t>
  </si>
  <si>
    <t>Get started by entering your starting balance below.</t>
  </si>
  <si>
    <t>2.</t>
  </si>
  <si>
    <t xml:space="preserve">Then, fill out the 'Expenses' and 'Income' tabs. </t>
  </si>
  <si>
    <t>3.</t>
  </si>
  <si>
    <t>Feel free to rename or delete categories in these tabs. Your changes will automatically be reflected on the 'Summary' tab, which shows an overview of your projected/actual spending.</t>
  </si>
  <si>
    <t>Configure</t>
  </si>
  <si>
    <t>Starting balance:</t>
  </si>
  <si>
    <t>Lihat Tabel di Sheet Asumsi &amp; SBU</t>
  </si>
  <si>
    <t>Pendapatan</t>
  </si>
  <si>
    <t>Total</t>
  </si>
  <si>
    <t>Rata-Rata</t>
  </si>
  <si>
    <t>Pendapatan Operasional</t>
  </si>
  <si>
    <t>Total Bulanan</t>
  </si>
  <si>
    <t>Dana Pengembangan</t>
  </si>
  <si>
    <t>Dana Kuliah (SPP)</t>
  </si>
  <si>
    <t>Dana Uang Kuliah Tunggal</t>
  </si>
  <si>
    <t>Pendapatan Lain-Lain</t>
  </si>
  <si>
    <t>Pendaftaran Mahasiswa Baru</t>
  </si>
  <si>
    <t>Pendapatan Virtual Account</t>
  </si>
  <si>
    <t>Her-registrasi Semester</t>
  </si>
  <si>
    <t>Denda Perpustakaan</t>
  </si>
  <si>
    <t>Semester Antara</t>
  </si>
  <si>
    <t>KKN</t>
  </si>
  <si>
    <t>Sidang Skripsi/TA</t>
  </si>
  <si>
    <t>Sertifikasi</t>
  </si>
  <si>
    <t>TOEFL / TOEIC</t>
  </si>
  <si>
    <t>Denda KHS / KRS</t>
  </si>
  <si>
    <t>Pendapatan Matrikulasi</t>
  </si>
  <si>
    <t>Kegiatan Kemahasiswaan</t>
  </si>
  <si>
    <t>Pendapatan Wisuda</t>
  </si>
  <si>
    <t>Sewa Sarana Prasarana</t>
  </si>
  <si>
    <t>Pendapatan Parkir</t>
  </si>
  <si>
    <t>Pendapatan Sanksi Kerja</t>
  </si>
  <si>
    <t>Pendapatan Bunga Deposito</t>
  </si>
  <si>
    <t>Pendapatan EDC</t>
  </si>
  <si>
    <t>Kegiatan Sertifikasi dan Kursus</t>
  </si>
  <si>
    <t xml:space="preserve">Kegiatan Hibah </t>
  </si>
  <si>
    <t>Kegiatan Proyek Kerjasama</t>
  </si>
  <si>
    <t>Beban</t>
  </si>
  <si>
    <t>Average</t>
  </si>
  <si>
    <t>Beban Gaji</t>
  </si>
  <si>
    <t>Total Bulanan:</t>
  </si>
  <si>
    <t>Gaji Dosen dan THR (sumber BAKeu)</t>
  </si>
  <si>
    <t>Gaji Bersama</t>
  </si>
  <si>
    <t>Beban Akademik Operasional</t>
  </si>
  <si>
    <t>Perpustakaan / Buku / Majalah</t>
  </si>
  <si>
    <t>Raker / Rapat</t>
  </si>
  <si>
    <t>Administrasi Pendidikan / Perkuliahan / FC / Jilid / Cetak</t>
  </si>
  <si>
    <t>Program Jurusan / Rektorat</t>
  </si>
  <si>
    <t>Akreditasi (Jurusan)</t>
  </si>
  <si>
    <t>Peralatan/ Alat Peraga</t>
  </si>
  <si>
    <t>Laboratorium / Pengelolaan Laboratorium</t>
  </si>
  <si>
    <t>Iuran Aptisi/ Keanggotaan</t>
  </si>
  <si>
    <t>Lain-Lain Akademik</t>
  </si>
  <si>
    <t>Seminar / Pelatihan / Studium Generalle</t>
  </si>
  <si>
    <t>Perlengkapan Pengajaran / ATK Pengajaran</t>
  </si>
  <si>
    <t>Penulisan Buku / Pemakalah</t>
  </si>
  <si>
    <t>Biaya Internet</t>
  </si>
  <si>
    <t>Biaya Sevima</t>
  </si>
  <si>
    <t>Biaya Penelitian</t>
  </si>
  <si>
    <t>Campus Agreement/ MOU Prodi</t>
  </si>
  <si>
    <t>Biaya Kegiatan Wisuda</t>
  </si>
  <si>
    <t>Biaya Kegiatan Sertifikasi</t>
  </si>
  <si>
    <t>Beban Kegiatan KKN</t>
  </si>
  <si>
    <t>Beban Kegiatan UPMB / PEMBA</t>
  </si>
  <si>
    <t>Beban Visa / Ijin &amp; Lain Native</t>
  </si>
  <si>
    <t>Beban Kegiatan UAS / UTS</t>
  </si>
  <si>
    <t>Beban Kegiatan Psikotest</t>
  </si>
  <si>
    <t>Beban Kegiatan Pembuatan KTM</t>
  </si>
  <si>
    <t>Beban Kegiatan ORMAWA</t>
  </si>
  <si>
    <t>Beban Kegiatan Pembuatan Modul</t>
  </si>
  <si>
    <t>Beban Kegiatan Lomba / Event</t>
  </si>
  <si>
    <t>Beban Kegiatan Konsumsi Probis</t>
  </si>
  <si>
    <t>Penghargaan / Tropi / Plakat</t>
  </si>
  <si>
    <t>Beban Kegiatan Beasiswa</t>
  </si>
  <si>
    <t>Beban Kegiatan TOEFL / TOIEC</t>
  </si>
  <si>
    <t>Beban Perjalanan Dinas</t>
  </si>
  <si>
    <t>Beban Kerjasama</t>
  </si>
  <si>
    <t>Beban Kantor Umum</t>
  </si>
  <si>
    <t>ATK &amp; Benda Pos</t>
  </si>
  <si>
    <t>PDAM</t>
  </si>
  <si>
    <t>PLN / Listrik</t>
  </si>
  <si>
    <t>Telepon / Pulsa</t>
  </si>
  <si>
    <t>Koran</t>
  </si>
  <si>
    <t>Sumbangan / Pernikahan / Uang Duka</t>
  </si>
  <si>
    <t>Iuran RT</t>
  </si>
  <si>
    <t>Konsumsi</t>
  </si>
  <si>
    <t>BBM / Tol / Parkir / Ekspedisi / Transport</t>
  </si>
  <si>
    <t>Fotocopy Unit / Cetak / Jilid</t>
  </si>
  <si>
    <t>Jasa Konsultan</t>
  </si>
  <si>
    <t>Kegiatan Hari Besar / Parcel</t>
  </si>
  <si>
    <t>Peralatan Kantor / RT</t>
  </si>
  <si>
    <t>Lain-Lain Non Akademik</t>
  </si>
  <si>
    <t>Entertainment</t>
  </si>
  <si>
    <t>Administrasi Bank</t>
  </si>
  <si>
    <t>Sewa tanah / PBB</t>
  </si>
  <si>
    <t>Kesejahteraan Karyawan / Kegiatan Bersama</t>
  </si>
  <si>
    <t>Iklan Lowongan Kerja</t>
  </si>
  <si>
    <t>Beban Pajak</t>
  </si>
  <si>
    <t>HUT YPPI / Dies Natalis Uwika</t>
  </si>
  <si>
    <t>Beban PPH Pasal 23</t>
  </si>
  <si>
    <t>Beban PPH 4 Ayat 2</t>
  </si>
  <si>
    <t>Beban Pemeliharaan</t>
  </si>
  <si>
    <t>Pemeliharaan Bangunan</t>
  </si>
  <si>
    <t>Pemeliharaan Peralatan</t>
  </si>
  <si>
    <t>Pemeliharaan Kendaraan</t>
  </si>
  <si>
    <t>Pemeliharaan Kebersihan</t>
  </si>
  <si>
    <t>Beban Marketing</t>
  </si>
  <si>
    <t>Program PMB / Marketing (Tahun Berjalan)</t>
  </si>
  <si>
    <t>Beban Cetak / Souvenir Marketing</t>
  </si>
  <si>
    <t>Beban Asuransi</t>
  </si>
  <si>
    <t>BPJS Tenaga Kerja</t>
  </si>
  <si>
    <t>BPJS Kesehatan</t>
  </si>
  <si>
    <t>DPLK &amp; Manulife</t>
  </si>
  <si>
    <t>Beban Penghapusan Piutang Mahasiswa</t>
  </si>
  <si>
    <t>Penghapusan Piutang Mahasiswa/Karyawan</t>
  </si>
  <si>
    <t>Beban Sertifikasi &amp; Proyek lainnya</t>
  </si>
  <si>
    <t>Beban Kursus Usaha Lain</t>
  </si>
  <si>
    <t>Beban Pasca Kerja</t>
  </si>
  <si>
    <t>Beban Imbalan Pasca Kerja</t>
  </si>
  <si>
    <t>Beban Cadangan Pensiun &amp; THR</t>
  </si>
  <si>
    <t>Beban Cadangan Pensiun</t>
  </si>
  <si>
    <t>Beban Cadangan THR Edukatif</t>
  </si>
  <si>
    <t>Beban Cadangan THR Non Edukatif</t>
  </si>
  <si>
    <t>Beban Penyusutan</t>
  </si>
  <si>
    <t>Beban Penyusutan Inventaris</t>
  </si>
  <si>
    <t>Pengeluaran Hibah</t>
  </si>
  <si>
    <t>Biaya pengeluaran Hibah</t>
  </si>
  <si>
    <t>About this sheet</t>
  </si>
  <si>
    <t>Note</t>
  </si>
  <si>
    <t>This sheet generates a summary of your spending based on data in the 'Expenses' and 'Income' tabs.</t>
  </si>
  <si>
    <t>Please don't edit this sheet.</t>
  </si>
  <si>
    <t>Make sure you've set a starting balance in the 'Configure' tab before beginning.</t>
  </si>
  <si>
    <t>It contains formulas and will update automatically.</t>
  </si>
  <si>
    <t>Summary</t>
  </si>
  <si>
    <t>Income</t>
  </si>
  <si>
    <t>Expenses</t>
  </si>
  <si>
    <t>Net savings</t>
  </si>
  <si>
    <t>Ending balance</t>
  </si>
  <si>
    <t>Row #</t>
  </si>
  <si>
    <t>Beban Kegiatan Ekskursi / Studi Tour/ Kuliah Lapangan</t>
  </si>
  <si>
    <t>Beban Kegiatan Sidang / Sidang Ulang TA &amp; Proposal TA (7 mahasiswa)</t>
  </si>
  <si>
    <t>Total Tahunan</t>
  </si>
  <si>
    <t>Total Tahun</t>
  </si>
  <si>
    <t xml:space="preserve"> </t>
  </si>
  <si>
    <t>UNIT / PRODI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</si>
</sst>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Rp&quot;* #,##0.00_);_(&quot;Rp&quot;* \(#,##0.00\);_(&quot;Rp&quot;* &quot;-&quot;??_);_(@_)"/>
    <numFmt numFmtId="165" formatCode="_(* #,##0.00_);_(* \(#,##0.00\);_(* &quot;-&quot;??_);_(@_)"/>
    <numFmt numFmtId="166" formatCode="&quot;$&quot;#,##0"/>
    <numFmt numFmtId="167" formatCode="[$Rp]#,##0"/>
    <numFmt numFmtId="168" formatCode="#,##0.00;\(#,##0.00\)"/>
    <numFmt numFmtId="169" formatCode="mmm&quot; '&quot;yy"/>
  </numFmts>
  <fonts count="37" x14ac:knownFonts="1">
    <font>
      <sz val="10"/>
      <color rgb="FF000000"/>
      <name val="Arial"/>
    </font>
    <font>
      <b/>
      <sz val="18"/>
      <color rgb="FFFFFFFF"/>
      <name val="Arial"/>
      <family val="2"/>
    </font>
    <font>
      <b/>
      <sz val="17"/>
      <color rgb="FFFFFFFF"/>
      <name val="Arial"/>
      <family val="2"/>
    </font>
    <font>
      <sz val="10"/>
      <name val="Arial"/>
      <family val="2"/>
    </font>
    <font>
      <sz val="18"/>
      <color rgb="FFFFFFFF"/>
      <name val="Arial"/>
      <family val="2"/>
    </font>
    <font>
      <b/>
      <sz val="10"/>
      <color rgb="FF6B6C72"/>
      <name val="Arial"/>
      <family val="2"/>
    </font>
    <font>
      <sz val="10"/>
      <color rgb="FF6B6C72"/>
      <name val="Arial"/>
      <family val="2"/>
    </font>
    <font>
      <sz val="10"/>
      <color rgb="FF576475"/>
      <name val="Arial"/>
      <family val="2"/>
    </font>
    <font>
      <b/>
      <sz val="10"/>
      <color rgb="FFFFFFFF"/>
      <name val="Arial"/>
      <family val="2"/>
    </font>
    <font>
      <i/>
      <sz val="10"/>
      <color rgb="FFFFFFFF"/>
      <name val="Arial"/>
      <family val="2"/>
    </font>
    <font>
      <sz val="10"/>
      <color rgb="FFFFFFFF"/>
      <name val="Arial"/>
      <family val="2"/>
    </font>
    <font>
      <b/>
      <sz val="12"/>
      <color rgb="FF6B6C72"/>
      <name val="Arial"/>
      <family val="2"/>
    </font>
    <font>
      <b/>
      <sz val="12"/>
      <color rgb="FF666666"/>
      <name val="Arial"/>
      <family val="2"/>
    </font>
    <font>
      <b/>
      <sz val="10"/>
      <color rgb="FF556376"/>
      <name val="Arial"/>
      <family val="2"/>
    </font>
    <font>
      <sz val="10"/>
      <color rgb="FF556376"/>
      <name val="Arial"/>
      <family val="2"/>
    </font>
    <font>
      <b/>
      <sz val="10"/>
      <color rgb="FF556376"/>
      <name val="Arial"/>
      <family val="2"/>
    </font>
    <font>
      <b/>
      <sz val="10"/>
      <color rgb="FF576475"/>
      <name val="Arial"/>
      <family val="2"/>
    </font>
    <font>
      <b/>
      <sz val="12"/>
      <color rgb="FF666666"/>
      <name val="Arial"/>
      <family val="2"/>
    </font>
    <font>
      <sz val="10"/>
      <name val="Arial"/>
      <family val="2"/>
    </font>
    <font>
      <b/>
      <sz val="18"/>
      <color rgb="FF556376"/>
      <name val="Arial"/>
      <family val="2"/>
    </font>
    <font>
      <sz val="10"/>
      <color rgb="FFE6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Calibri"/>
      <family val="2"/>
      <charset val="1"/>
      <scheme val="minor"/>
    </font>
    <font>
      <b/>
      <sz val="12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9"/>
      <color theme="1" tint="4.9989318521683403E-2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9"/>
      <color theme="1" tint="4.9989318521683403E-2"/>
      <name val="Calibri"/>
      <family val="2"/>
      <scheme val="minor"/>
    </font>
    <font>
      <i/>
      <sz val="9"/>
      <color theme="1" tint="4.9989318521683403E-2"/>
      <name val="Arial"/>
      <family val="2"/>
    </font>
    <font>
      <b/>
      <sz val="18"/>
      <color theme="1" tint="4.9989318521683403E-2"/>
      <name val="Calibri"/>
      <family val="2"/>
      <scheme val="minor"/>
    </font>
    <font>
      <i/>
      <sz val="12"/>
      <color theme="1" tint="4.9989318521683403E-2"/>
      <name val="Calibri"/>
      <family val="2"/>
      <scheme val="minor"/>
    </font>
    <font>
      <b/>
      <i/>
      <sz val="12"/>
      <color theme="1" tint="4.9989318521683403E-2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sz val="9"/>
      <color rgb="FF000000"/>
      <name val="Calibri"/>
      <family val="2"/>
      <charset val="1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08000"/>
        <bgColor rgb="FF108000"/>
      </patternFill>
    </fill>
    <fill>
      <patternFill patternType="solid">
        <fgColor rgb="FFFFFFFF"/>
        <bgColor rgb="FFFFFFFF"/>
      </patternFill>
    </fill>
    <fill>
      <patternFill patternType="solid">
        <fgColor rgb="FFECEEF1"/>
        <bgColor rgb="FFECEEF1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rgb="FFECEEF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108000"/>
      </patternFill>
    </fill>
  </fills>
  <borders count="75">
    <border>
      <left/>
      <right/>
      <top/>
      <bottom/>
      <diagonal/>
    </border>
    <border>
      <left/>
      <right/>
      <top style="thin">
        <color rgb="FFF9F9F9"/>
      </top>
      <bottom/>
      <diagonal/>
    </border>
    <border>
      <left/>
      <right/>
      <top/>
      <bottom style="dotted">
        <color rgb="FFD9D9D9"/>
      </bottom>
      <diagonal/>
    </border>
    <border>
      <left style="thin">
        <color rgb="FF108000"/>
      </left>
      <right style="thin">
        <color rgb="FF108000"/>
      </right>
      <top style="thin">
        <color rgb="FF108000"/>
      </top>
      <bottom style="thin">
        <color rgb="FF108000"/>
      </bottom>
      <diagonal/>
    </border>
    <border>
      <left style="thin">
        <color rgb="FFECEEF1"/>
      </left>
      <right style="thin">
        <color rgb="FFECEEF1"/>
      </right>
      <top/>
      <bottom style="thin">
        <color rgb="FFECEEF1"/>
      </bottom>
      <diagonal/>
    </border>
    <border>
      <left style="thin">
        <color rgb="FFECEEF1"/>
      </left>
      <right style="thin">
        <color rgb="FFD9D9D9"/>
      </right>
      <top/>
      <bottom style="thin">
        <color rgb="FFECEEF1"/>
      </bottom>
      <diagonal/>
    </border>
    <border>
      <left/>
      <right style="thin">
        <color rgb="FFF9F9F9"/>
      </right>
      <top/>
      <bottom style="dotted">
        <color rgb="FFCCCCCC"/>
      </bottom>
      <diagonal/>
    </border>
    <border>
      <left style="thin">
        <color rgb="FFF9F9F9"/>
      </left>
      <right style="thin">
        <color rgb="FFF9F9F9"/>
      </right>
      <top/>
      <bottom style="dotted">
        <color rgb="FFCCCCCC"/>
      </bottom>
      <diagonal/>
    </border>
    <border>
      <left style="thin">
        <color rgb="FFF9F9F9"/>
      </left>
      <right style="thin">
        <color rgb="FFFFFFFF"/>
      </right>
      <top/>
      <bottom style="dotted">
        <color rgb="FFCCCCCC"/>
      </bottom>
      <diagonal/>
    </border>
    <border>
      <left style="thin">
        <color rgb="FFECEEF1"/>
      </left>
      <right style="thin">
        <color rgb="FFECEEF1"/>
      </right>
      <top style="thin">
        <color rgb="FFECEEF1"/>
      </top>
      <bottom style="thin">
        <color rgb="FFECEEF1"/>
      </bottom>
      <diagonal/>
    </border>
    <border>
      <left style="thin">
        <color rgb="FFECEEF1"/>
      </left>
      <right style="thin">
        <color rgb="FFD9D9D9"/>
      </right>
      <top style="thin">
        <color rgb="FFECEEF1"/>
      </top>
      <bottom style="thin">
        <color rgb="FFECEEF1"/>
      </bottom>
      <diagonal/>
    </border>
    <border>
      <left/>
      <right style="thin">
        <color rgb="FFFFFFFF"/>
      </right>
      <top style="dotted">
        <color rgb="FFCCCCCC"/>
      </top>
      <bottom style="hair">
        <color rgb="FFFFFFFF"/>
      </bottom>
      <diagonal/>
    </border>
    <border>
      <left/>
      <right style="dotted">
        <color rgb="FFFFFFFF"/>
      </right>
      <top style="dotted">
        <color rgb="FFCCCCCC"/>
      </top>
      <bottom style="thin">
        <color rgb="FFD9D9D9"/>
      </bottom>
      <diagonal/>
    </border>
    <border>
      <left style="dotted">
        <color rgb="FFFFFFFF"/>
      </left>
      <right style="dotted">
        <color rgb="FFFFFFFF"/>
      </right>
      <top style="dotted">
        <color rgb="FFCCCCCC"/>
      </top>
      <bottom style="thin">
        <color rgb="FFD9D9D9"/>
      </bottom>
      <diagonal/>
    </border>
    <border>
      <left/>
      <right style="thin">
        <color rgb="FFFFFFFF"/>
      </right>
      <top/>
      <bottom style="hair">
        <color rgb="FFFFFFFF"/>
      </bottom>
      <diagonal/>
    </border>
    <border>
      <left/>
      <right style="dotted">
        <color rgb="FFFFFFFF"/>
      </right>
      <top/>
      <bottom style="thin">
        <color rgb="FFD9D9D9"/>
      </bottom>
      <diagonal/>
    </border>
    <border>
      <left style="dotted">
        <color rgb="FFFFFFFF"/>
      </left>
      <right style="dotted">
        <color rgb="FFFFFFFF"/>
      </right>
      <top/>
      <bottom style="thin">
        <color rgb="FFD9D9D9"/>
      </bottom>
      <diagonal/>
    </border>
    <border>
      <left/>
      <right style="thin">
        <color rgb="FFFFFFFF"/>
      </right>
      <top style="hair">
        <color rgb="FFFFFFFF"/>
      </top>
      <bottom style="hair">
        <color rgb="FFFFFFFF"/>
      </bottom>
      <diagonal/>
    </border>
    <border>
      <left/>
      <right style="dotted">
        <color rgb="FFFFFFFF"/>
      </right>
      <top style="thin">
        <color rgb="FFD9D9D9"/>
      </top>
      <bottom style="thin">
        <color rgb="FFD9D9D9"/>
      </bottom>
      <diagonal/>
    </border>
    <border>
      <left style="dotted">
        <color rgb="FFFFFFFF"/>
      </left>
      <right style="dotted">
        <color rgb="FFFFFFFF"/>
      </right>
      <top style="thin">
        <color rgb="FFD9D9D9"/>
      </top>
      <bottom style="thin">
        <color rgb="FFD9D9D9"/>
      </bottom>
      <diagonal/>
    </border>
    <border>
      <left/>
      <right style="thin">
        <color rgb="FFFFFFFF"/>
      </right>
      <top style="hair">
        <color rgb="FFFFFFFF"/>
      </top>
      <bottom style="dotted">
        <color rgb="FFFFFFFF"/>
      </bottom>
      <diagonal/>
    </border>
    <border>
      <left/>
      <right style="dotted">
        <color rgb="FFFFFFFF"/>
      </right>
      <top/>
      <bottom/>
      <diagonal/>
    </border>
    <border>
      <left style="dotted">
        <color rgb="FFFFFFFF"/>
      </left>
      <right style="dotted">
        <color rgb="FFFFFFFF"/>
      </right>
      <top/>
      <bottom/>
      <diagonal/>
    </border>
    <border>
      <left style="dotted">
        <color rgb="FFFFFFFF"/>
      </left>
      <right style="thin">
        <color rgb="FFFFFFFF"/>
      </right>
      <top style="thin">
        <color rgb="FFFFFFFF"/>
      </top>
      <bottom style="dotted">
        <color rgb="FFFFFFFF"/>
      </bottom>
      <diagonal/>
    </border>
    <border>
      <left/>
      <right style="thin">
        <color rgb="FFFFFFFF"/>
      </right>
      <top style="dotted">
        <color rgb="FFFFFFFF"/>
      </top>
      <bottom style="dotted">
        <color rgb="FFD9D9D9"/>
      </bottom>
      <diagonal/>
    </border>
    <border>
      <left style="thin">
        <color rgb="FFFFFFFF"/>
      </left>
      <right style="thin">
        <color rgb="FFFFFFFF"/>
      </right>
      <top/>
      <bottom style="dotted">
        <color rgb="FFD9D9D9"/>
      </bottom>
      <diagonal/>
    </border>
    <border>
      <left style="thin">
        <color rgb="FFFFFFFF"/>
      </left>
      <right style="thin">
        <color rgb="FFFFFFFF"/>
      </right>
      <top style="dotted">
        <color rgb="FFFFFFFF"/>
      </top>
      <bottom style="dotted">
        <color rgb="FFD9D9D9"/>
      </bottom>
      <diagonal/>
    </border>
    <border>
      <left/>
      <right style="thin">
        <color rgb="FFF9F9F9"/>
      </right>
      <top style="dotted">
        <color rgb="FFD9D9D9"/>
      </top>
      <bottom style="dotted">
        <color rgb="FFCCCCCC"/>
      </bottom>
      <diagonal/>
    </border>
    <border>
      <left style="thin">
        <color rgb="FFF9F9F9"/>
      </left>
      <right style="thin">
        <color rgb="FFF9F9F9"/>
      </right>
      <top style="dotted">
        <color rgb="FFD9D9D9"/>
      </top>
      <bottom style="dotted">
        <color rgb="FFCCCCCC"/>
      </bottom>
      <diagonal/>
    </border>
    <border>
      <left style="thin">
        <color rgb="FFF9F9F9"/>
      </left>
      <right style="thin">
        <color rgb="FFFFFFFF"/>
      </right>
      <top style="dotted">
        <color rgb="FFD9D9D9"/>
      </top>
      <bottom style="dotted">
        <color rgb="FFCCCCCC"/>
      </bottom>
      <diagonal/>
    </border>
    <border>
      <left/>
      <right style="thin">
        <color rgb="FFFFFFFF"/>
      </right>
      <top style="hair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D9D9D9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dotted">
        <color rgb="FFCCCCCC"/>
      </top>
      <bottom style="hair">
        <color rgb="FFFFFFFF"/>
      </bottom>
      <diagonal/>
    </border>
    <border>
      <left style="thin">
        <color rgb="FFFFFFFF"/>
      </left>
      <right style="thin">
        <color rgb="FFFFFFFF"/>
      </right>
      <top style="dotted">
        <color rgb="FFCCCCCC"/>
      </top>
      <bottom style="thin">
        <color rgb="FFD9D9D9"/>
      </bottom>
      <diagonal/>
    </border>
    <border>
      <left/>
      <right style="thin">
        <color rgb="FFFFFFFF"/>
      </right>
      <top style="dotted">
        <color rgb="FFCCCCCC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/>
      <diagonal/>
    </border>
    <border>
      <left/>
      <right/>
      <top style="hair">
        <color rgb="FFFFFFFF"/>
      </top>
      <bottom style="dotted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D9D9D9"/>
      </top>
      <bottom/>
      <diagonal/>
    </border>
    <border>
      <left/>
      <right style="thin">
        <color rgb="FFFFFFFF"/>
      </right>
      <top style="thin">
        <color rgb="FFFFFFFF"/>
      </top>
      <bottom style="dotted">
        <color rgb="FFFFFFFF"/>
      </bottom>
      <diagonal/>
    </border>
    <border>
      <left/>
      <right/>
      <top style="dotted">
        <color rgb="FFFFFFFF"/>
      </top>
      <bottom/>
      <diagonal/>
    </border>
    <border>
      <left/>
      <right style="thin">
        <color rgb="FFFFFFFF"/>
      </right>
      <top style="dotted">
        <color rgb="FFFFFFFF"/>
      </top>
      <bottom/>
      <diagonal/>
    </border>
    <border>
      <left/>
      <right/>
      <top/>
      <bottom style="hair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D9D9D9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D9D9D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dotted">
        <color rgb="FFFFFFFF"/>
      </bottom>
      <diagonal/>
    </border>
    <border>
      <left style="thin">
        <color rgb="FFF9F9F9"/>
      </left>
      <right style="dotted">
        <color rgb="FFFFFFFF"/>
      </right>
      <top style="dotted">
        <color rgb="FFD9D9D9"/>
      </top>
      <bottom style="dotted">
        <color rgb="FFCCCCCC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 style="dotted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D9D9D9"/>
      </top>
      <bottom style="dotted">
        <color rgb="FFCCCCCC"/>
      </bottom>
      <diagonal/>
    </border>
    <border>
      <left/>
      <right style="thin">
        <color rgb="FFFFFFFF"/>
      </right>
      <top style="thin">
        <color rgb="FFFFFFFF"/>
      </top>
      <bottom style="dotted">
        <color rgb="FFCCCCCC"/>
      </bottom>
      <diagonal/>
    </border>
    <border>
      <left/>
      <right style="thin">
        <color rgb="FFF9F9F9"/>
      </right>
      <top style="dotted">
        <color rgb="FFCCCCCC"/>
      </top>
      <bottom style="dotted">
        <color rgb="FFCCCCCC"/>
      </bottom>
      <diagonal/>
    </border>
    <border>
      <left style="thin">
        <color rgb="FFF9F9F9"/>
      </left>
      <right style="thin">
        <color rgb="FFF9F9F9"/>
      </right>
      <top style="dotted">
        <color rgb="FFCCCCCC"/>
      </top>
      <bottom style="dotted">
        <color rgb="FFCCCCCC"/>
      </bottom>
      <diagonal/>
    </border>
    <border>
      <left style="thin">
        <color rgb="FFF9F9F9"/>
      </left>
      <right style="dotted">
        <color rgb="FFFFFFFF"/>
      </right>
      <top style="dotted">
        <color rgb="FFCCCCCC"/>
      </top>
      <bottom style="dotted">
        <color rgb="FFCCCCCC"/>
      </bottom>
      <diagonal/>
    </border>
    <border>
      <left/>
      <right/>
      <top style="dotted">
        <color rgb="FFCCCCCC"/>
      </top>
      <bottom style="dotted">
        <color rgb="FFFFFFFF"/>
      </bottom>
      <diagonal/>
    </border>
    <border>
      <left/>
      <right/>
      <top style="hair">
        <color rgb="FFFFFFFF"/>
      </top>
      <bottom/>
      <diagonal/>
    </border>
    <border>
      <left/>
      <right/>
      <top style="hair">
        <color rgb="FFFFFFFF"/>
      </top>
      <bottom style="dotted">
        <color rgb="FFCCCCCC"/>
      </bottom>
      <diagonal/>
    </border>
    <border>
      <left style="thin">
        <color rgb="FFECEEF1"/>
      </left>
      <right style="thin">
        <color rgb="FFECEEF1"/>
      </right>
      <top style="thin">
        <color rgb="FFECEEF1"/>
      </top>
      <bottom/>
      <diagonal/>
    </border>
    <border>
      <left style="thin">
        <color rgb="FFECEEF1"/>
      </left>
      <right style="thin">
        <color rgb="FFD9D9D9"/>
      </right>
      <top style="thin">
        <color rgb="FFECEEF1"/>
      </top>
      <bottom/>
      <diagonal/>
    </border>
    <border>
      <left style="thin">
        <color rgb="FFF9F9F9"/>
      </left>
      <right style="thin">
        <color rgb="FFF9F9F9"/>
      </right>
      <top/>
      <bottom style="thin">
        <color rgb="FFF9F9F9"/>
      </bottom>
      <diagonal/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  <diagonal/>
    </border>
    <border>
      <left style="thin">
        <color rgb="FFF9F9F9"/>
      </left>
      <right style="thin">
        <color rgb="FFF9F9F9"/>
      </right>
      <top style="thin">
        <color rgb="FFF9F9F9"/>
      </top>
      <bottom style="dotted">
        <color rgb="FFCCCCCC"/>
      </bottom>
      <diagonal/>
    </border>
    <border>
      <left style="thin">
        <color rgb="FFF9F9F9"/>
      </left>
      <right style="thin">
        <color rgb="FFF9F9F9"/>
      </right>
      <top style="dotted">
        <color rgb="FFCCCCCC"/>
      </top>
      <bottom style="thin">
        <color rgb="FFF9F9F9"/>
      </bottom>
      <diagonal/>
    </border>
    <border>
      <left style="thin">
        <color rgb="FFFFFFFF"/>
      </left>
      <right style="thin">
        <color rgb="FFF9F9F9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9F9F9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108000"/>
      </left>
      <right/>
      <top style="thin">
        <color rgb="FF108000"/>
      </top>
      <bottom style="thin">
        <color rgb="FF108000"/>
      </bottom>
      <diagonal/>
    </border>
    <border>
      <left/>
      <right/>
      <top style="thin">
        <color rgb="FF108000"/>
      </top>
      <bottom style="thin">
        <color rgb="FF108000"/>
      </bottom>
      <diagonal/>
    </border>
    <border>
      <left/>
      <right style="thin">
        <color rgb="FF108000"/>
      </right>
      <top style="thin">
        <color rgb="FF108000"/>
      </top>
      <bottom style="thin">
        <color rgb="FF108000"/>
      </bottom>
      <diagonal/>
    </border>
  </borders>
  <cellStyleXfs count="4">
    <xf numFmtId="0" fontId="0" fillId="0" borderId="0"/>
    <xf numFmtId="4" fontId="22" fillId="6" borderId="0">
      <alignment horizontal="right" vertical="top"/>
    </xf>
    <xf numFmtId="165" fontId="21" fillId="0" borderId="0" applyFont="0" applyFill="0" applyBorder="0" applyAlignment="0" applyProtection="0"/>
    <xf numFmtId="4" fontId="36" fillId="6" borderId="0">
      <alignment horizontal="right" vertical="top"/>
    </xf>
  </cellStyleXfs>
  <cellXfs count="294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49" fontId="5" fillId="2" borderId="0" xfId="0" applyNumberFormat="1" applyFont="1" applyFill="1" applyAlignment="1">
      <alignment horizontal="left" vertical="top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49" fontId="8" fillId="2" borderId="0" xfId="0" applyNumberFormat="1" applyFont="1" applyFill="1" applyAlignment="1">
      <alignment vertical="top"/>
    </xf>
    <xf numFmtId="0" fontId="10" fillId="2" borderId="0" xfId="0" applyFont="1" applyFill="1" applyAlignment="1">
      <alignment vertical="top"/>
    </xf>
    <xf numFmtId="49" fontId="11" fillId="3" borderId="0" xfId="0" applyNumberFormat="1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49" fontId="13" fillId="3" borderId="0" xfId="0" applyNumberFormat="1" applyFont="1" applyFill="1" applyAlignment="1">
      <alignment horizontal="right" vertical="top"/>
    </xf>
    <xf numFmtId="0" fontId="7" fillId="3" borderId="0" xfId="0" applyFont="1" applyFill="1" applyAlignment="1">
      <alignment horizontal="left" vertical="center"/>
    </xf>
    <xf numFmtId="49" fontId="15" fillId="3" borderId="0" xfId="0" applyNumberFormat="1" applyFont="1" applyFill="1" applyAlignment="1">
      <alignment horizontal="right" vertical="top"/>
    </xf>
    <xf numFmtId="49" fontId="5" fillId="3" borderId="2" xfId="0" applyNumberFormat="1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/>
    </xf>
    <xf numFmtId="49" fontId="5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49" fontId="16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4" fontId="19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vertical="top"/>
    </xf>
    <xf numFmtId="0" fontId="7" fillId="0" borderId="0" xfId="0" applyFont="1"/>
    <xf numFmtId="0" fontId="7" fillId="0" borderId="0" xfId="0" applyFont="1" applyAlignment="1">
      <alignment horizontal="center"/>
    </xf>
    <xf numFmtId="0" fontId="23" fillId="4" borderId="4" xfId="0" applyFont="1" applyFill="1" applyBorder="1" applyAlignment="1">
      <alignment horizontal="right" vertical="center" wrapText="1"/>
    </xf>
    <xf numFmtId="0" fontId="25" fillId="4" borderId="5" xfId="0" applyFont="1" applyFill="1" applyBorder="1" applyAlignment="1">
      <alignment horizontal="right" vertical="center"/>
    </xf>
    <xf numFmtId="0" fontId="25" fillId="5" borderId="6" xfId="0" applyFont="1" applyFill="1" applyBorder="1" applyAlignment="1">
      <alignment horizontal="right" vertical="center"/>
    </xf>
    <xf numFmtId="0" fontId="29" fillId="5" borderId="7" xfId="0" applyFont="1" applyFill="1" applyBorder="1" applyAlignment="1">
      <alignment horizontal="left" vertical="center"/>
    </xf>
    <xf numFmtId="4" fontId="27" fillId="0" borderId="35" xfId="0" applyNumberFormat="1" applyFont="1" applyBorder="1" applyAlignment="1">
      <alignment horizontal="right" vertical="center"/>
    </xf>
    <xf numFmtId="168" fontId="30" fillId="0" borderId="35" xfId="0" applyNumberFormat="1" applyFont="1" applyBorder="1" applyAlignment="1">
      <alignment horizontal="right" vertical="center"/>
    </xf>
    <xf numFmtId="0" fontId="28" fillId="0" borderId="0" xfId="0" applyFont="1"/>
    <xf numFmtId="0" fontId="23" fillId="4" borderId="9" xfId="0" applyFont="1" applyFill="1" applyBorder="1" applyAlignment="1">
      <alignment horizontal="right" vertical="center" wrapText="1"/>
    </xf>
    <xf numFmtId="0" fontId="25" fillId="4" borderId="10" xfId="0" applyFont="1" applyFill="1" applyBorder="1" applyAlignment="1">
      <alignment horizontal="right" vertical="center"/>
    </xf>
    <xf numFmtId="0" fontId="25" fillId="0" borderId="34" xfId="0" applyFont="1" applyBorder="1" applyAlignment="1">
      <alignment horizontal="right" vertical="center"/>
    </xf>
    <xf numFmtId="0" fontId="28" fillId="0" borderId="35" xfId="0" applyFont="1" applyBorder="1" applyAlignment="1">
      <alignment horizontal="left" vertical="center" wrapText="1"/>
    </xf>
    <xf numFmtId="4" fontId="30" fillId="0" borderId="35" xfId="0" applyNumberFormat="1" applyFont="1" applyBorder="1" applyAlignment="1">
      <alignment horizontal="right" vertical="center"/>
    </xf>
    <xf numFmtId="166" fontId="30" fillId="0" borderId="36" xfId="0" applyNumberFormat="1" applyFont="1" applyBorder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28" fillId="0" borderId="37" xfId="0" applyFont="1" applyBorder="1" applyAlignment="1">
      <alignment horizontal="left" vertical="center" wrapText="1"/>
    </xf>
    <xf numFmtId="4" fontId="30" fillId="0" borderId="37" xfId="0" applyNumberFormat="1" applyFont="1" applyBorder="1" applyAlignment="1">
      <alignment horizontal="right" vertical="center"/>
    </xf>
    <xf numFmtId="166" fontId="30" fillId="0" borderId="38" xfId="0" applyNumberFormat="1" applyFont="1" applyBorder="1" applyAlignment="1">
      <alignment horizontal="right" vertical="center"/>
    </xf>
    <xf numFmtId="0" fontId="25" fillId="0" borderId="39" xfId="0" applyFont="1" applyBorder="1" applyAlignment="1">
      <alignment horizontal="right" vertical="center"/>
    </xf>
    <xf numFmtId="0" fontId="28" fillId="0" borderId="40" xfId="0" applyFont="1" applyBorder="1"/>
    <xf numFmtId="166" fontId="30" fillId="0" borderId="40" xfId="0" applyNumberFormat="1" applyFont="1" applyBorder="1" applyAlignment="1">
      <alignment horizontal="right" vertical="center"/>
    </xf>
    <xf numFmtId="167" fontId="30" fillId="0" borderId="40" xfId="0" applyNumberFormat="1" applyFont="1" applyBorder="1" applyAlignment="1">
      <alignment horizontal="right" vertical="center"/>
    </xf>
    <xf numFmtId="166" fontId="30" fillId="0" borderId="41" xfId="0" applyNumberFormat="1" applyFont="1" applyBorder="1" applyAlignment="1">
      <alignment horizontal="right" vertical="center"/>
    </xf>
    <xf numFmtId="0" fontId="25" fillId="0" borderId="42" xfId="0" applyFont="1" applyBorder="1" applyAlignment="1">
      <alignment horizontal="right" vertical="center"/>
    </xf>
    <xf numFmtId="0" fontId="28" fillId="0" borderId="40" xfId="0" applyFont="1" applyBorder="1" applyAlignment="1">
      <alignment horizontal="left" vertical="center"/>
    </xf>
    <xf numFmtId="166" fontId="30" fillId="0" borderId="43" xfId="0" applyNumberFormat="1" applyFont="1" applyBorder="1" applyAlignment="1">
      <alignment horizontal="right" vertical="center"/>
    </xf>
    <xf numFmtId="0" fontId="25" fillId="5" borderId="27" xfId="0" applyFont="1" applyFill="1" applyBorder="1" applyAlignment="1">
      <alignment horizontal="right" vertical="center"/>
    </xf>
    <xf numFmtId="0" fontId="25" fillId="0" borderId="44" xfId="0" applyFont="1" applyBorder="1" applyAlignment="1">
      <alignment horizontal="right" vertical="center"/>
    </xf>
    <xf numFmtId="0" fontId="28" fillId="0" borderId="45" xfId="0" applyFont="1" applyBorder="1" applyAlignment="1">
      <alignment horizontal="left" vertical="center" wrapText="1"/>
    </xf>
    <xf numFmtId="4" fontId="30" fillId="0" borderId="45" xfId="0" applyNumberFormat="1" applyFont="1" applyBorder="1" applyAlignment="1">
      <alignment horizontal="right" vertical="center"/>
    </xf>
    <xf numFmtId="166" fontId="30" fillId="0" borderId="46" xfId="0" applyNumberFormat="1" applyFont="1" applyBorder="1" applyAlignment="1">
      <alignment horizontal="right" vertical="center"/>
    </xf>
    <xf numFmtId="0" fontId="23" fillId="0" borderId="9" xfId="0" applyFont="1" applyBorder="1" applyAlignment="1">
      <alignment horizontal="right" vertical="center" wrapText="1"/>
    </xf>
    <xf numFmtId="0" fontId="25" fillId="0" borderId="10" xfId="0" applyFont="1" applyBorder="1" applyAlignment="1">
      <alignment horizontal="right" vertical="center"/>
    </xf>
    <xf numFmtId="0" fontId="28" fillId="0" borderId="47" xfId="0" applyFont="1" applyBorder="1" applyAlignment="1">
      <alignment horizontal="left" vertical="center" wrapText="1"/>
    </xf>
    <xf numFmtId="4" fontId="30" fillId="0" borderId="47" xfId="0" applyNumberFormat="1" applyFont="1" applyBorder="1" applyAlignment="1">
      <alignment horizontal="right" vertical="center"/>
    </xf>
    <xf numFmtId="166" fontId="30" fillId="0" borderId="48" xfId="0" applyNumberFormat="1" applyFont="1" applyBorder="1" applyAlignment="1">
      <alignment horizontal="right" vertical="center"/>
    </xf>
    <xf numFmtId="0" fontId="25" fillId="0" borderId="49" xfId="0" applyFont="1" applyBorder="1" applyAlignment="1">
      <alignment horizontal="right" vertical="center"/>
    </xf>
    <xf numFmtId="0" fontId="25" fillId="5" borderId="50" xfId="0" applyFont="1" applyFill="1" applyBorder="1" applyAlignment="1">
      <alignment horizontal="right" vertical="center"/>
    </xf>
    <xf numFmtId="4" fontId="27" fillId="5" borderId="28" xfId="0" applyNumberFormat="1" applyFont="1" applyFill="1" applyBorder="1" applyAlignment="1">
      <alignment horizontal="right" vertical="center"/>
    </xf>
    <xf numFmtId="0" fontId="28" fillId="0" borderId="37" xfId="0" applyFont="1" applyBorder="1" applyAlignment="1">
      <alignment horizontal="left" vertical="center"/>
    </xf>
    <xf numFmtId="166" fontId="30" fillId="0" borderId="37" xfId="0" applyNumberFormat="1" applyFont="1" applyBorder="1" applyAlignment="1">
      <alignment horizontal="right" vertical="center"/>
    </xf>
    <xf numFmtId="167" fontId="30" fillId="0" borderId="37" xfId="0" applyNumberFormat="1" applyFont="1" applyBorder="1" applyAlignment="1">
      <alignment horizontal="right" vertical="center"/>
    </xf>
    <xf numFmtId="166" fontId="30" fillId="0" borderId="51" xfId="0" applyNumberFormat="1" applyFont="1" applyBorder="1" applyAlignment="1">
      <alignment horizontal="right" vertical="center"/>
    </xf>
    <xf numFmtId="0" fontId="25" fillId="0" borderId="52" xfId="0" applyFont="1" applyBorder="1" applyAlignment="1">
      <alignment horizontal="right" vertical="center"/>
    </xf>
    <xf numFmtId="0" fontId="28" fillId="0" borderId="53" xfId="0" applyFont="1" applyBorder="1" applyAlignment="1">
      <alignment horizontal="left" vertical="center"/>
    </xf>
    <xf numFmtId="166" fontId="30" fillId="0" borderId="53" xfId="0" applyNumberFormat="1" applyFont="1" applyBorder="1" applyAlignment="1">
      <alignment horizontal="right" vertical="center"/>
    </xf>
    <xf numFmtId="167" fontId="30" fillId="0" borderId="53" xfId="0" applyNumberFormat="1" applyFont="1" applyBorder="1" applyAlignment="1">
      <alignment horizontal="right" vertical="center"/>
    </xf>
    <xf numFmtId="166" fontId="30" fillId="0" borderId="54" xfId="0" applyNumberFormat="1" applyFont="1" applyBorder="1" applyAlignment="1">
      <alignment horizontal="right" vertical="center"/>
    </xf>
    <xf numFmtId="0" fontId="25" fillId="5" borderId="55" xfId="0" applyFont="1" applyFill="1" applyBorder="1" applyAlignment="1">
      <alignment horizontal="right" vertical="center"/>
    </xf>
    <xf numFmtId="4" fontId="26" fillId="5" borderId="56" xfId="0" applyNumberFormat="1" applyFont="1" applyFill="1" applyBorder="1" applyAlignment="1">
      <alignment horizontal="right" vertical="center"/>
    </xf>
    <xf numFmtId="0" fontId="25" fillId="5" borderId="57" xfId="0" applyFont="1" applyFill="1" applyBorder="1" applyAlignment="1">
      <alignment horizontal="right" vertical="center"/>
    </xf>
    <xf numFmtId="0" fontId="25" fillId="0" borderId="58" xfId="0" applyFont="1" applyBorder="1" applyAlignment="1">
      <alignment horizontal="right" vertical="center"/>
    </xf>
    <xf numFmtId="0" fontId="28" fillId="0" borderId="35" xfId="0" applyFont="1" applyBorder="1" applyAlignment="1">
      <alignment horizontal="left" vertical="center"/>
    </xf>
    <xf numFmtId="0" fontId="28" fillId="0" borderId="47" xfId="0" applyFont="1" applyBorder="1" applyAlignment="1">
      <alignment horizontal="left" vertical="center"/>
    </xf>
    <xf numFmtId="0" fontId="25" fillId="0" borderId="59" xfId="0" applyFont="1" applyBorder="1" applyAlignment="1">
      <alignment horizontal="right" vertical="center"/>
    </xf>
    <xf numFmtId="0" fontId="28" fillId="0" borderId="40" xfId="0" applyFont="1" applyBorder="1" applyAlignment="1">
      <alignment horizontal="left" vertical="center" wrapText="1"/>
    </xf>
    <xf numFmtId="0" fontId="25" fillId="0" borderId="60" xfId="0" applyFont="1" applyBorder="1" applyAlignment="1">
      <alignment horizontal="right" vertical="center"/>
    </xf>
    <xf numFmtId="0" fontId="23" fillId="9" borderId="61" xfId="0" applyFont="1" applyFill="1" applyBorder="1" applyAlignment="1">
      <alignment horizontal="right" vertical="center" wrapText="1"/>
    </xf>
    <xf numFmtId="0" fontId="25" fillId="9" borderId="62" xfId="0" applyFont="1" applyFill="1" applyBorder="1" applyAlignment="1">
      <alignment horizontal="right" vertical="center"/>
    </xf>
    <xf numFmtId="0" fontId="25" fillId="7" borderId="0" xfId="0" applyFont="1" applyFill="1" applyAlignment="1">
      <alignment horizontal="right" vertical="center"/>
    </xf>
    <xf numFmtId="0" fontId="28" fillId="7" borderId="37" xfId="0" applyFont="1" applyFill="1" applyBorder="1" applyAlignment="1">
      <alignment horizontal="left" vertical="center"/>
    </xf>
    <xf numFmtId="4" fontId="30" fillId="7" borderId="37" xfId="0" applyNumberFormat="1" applyFont="1" applyFill="1" applyBorder="1" applyAlignment="1">
      <alignment horizontal="right" vertical="center"/>
    </xf>
    <xf numFmtId="4" fontId="27" fillId="7" borderId="37" xfId="0" applyNumberFormat="1" applyFont="1" applyFill="1" applyBorder="1" applyAlignment="1">
      <alignment horizontal="right" vertical="center"/>
    </xf>
    <xf numFmtId="167" fontId="30" fillId="7" borderId="37" xfId="0" applyNumberFormat="1" applyFont="1" applyFill="1" applyBorder="1" applyAlignment="1">
      <alignment horizontal="right" vertical="center"/>
    </xf>
    <xf numFmtId="166" fontId="30" fillId="7" borderId="38" xfId="0" applyNumberFormat="1" applyFont="1" applyFill="1" applyBorder="1" applyAlignment="1">
      <alignment horizontal="right" vertical="center"/>
    </xf>
    <xf numFmtId="0" fontId="28" fillId="7" borderId="0" xfId="0" applyFont="1" applyFill="1"/>
    <xf numFmtId="0" fontId="23" fillId="4" borderId="61" xfId="0" applyFont="1" applyFill="1" applyBorder="1" applyAlignment="1">
      <alignment horizontal="right" vertical="center" wrapText="1"/>
    </xf>
    <xf numFmtId="0" fontId="25" fillId="4" borderId="62" xfId="0" applyFont="1" applyFill="1" applyBorder="1" applyAlignment="1">
      <alignment horizontal="right" vertical="center"/>
    </xf>
    <xf numFmtId="166" fontId="27" fillId="0" borderId="37" xfId="0" applyNumberFormat="1" applyFont="1" applyBorder="1" applyAlignment="1">
      <alignment horizontal="right" vertical="center"/>
    </xf>
    <xf numFmtId="0" fontId="27" fillId="0" borderId="0" xfId="0" applyFont="1"/>
    <xf numFmtId="0" fontId="29" fillId="0" borderId="4" xfId="0" applyFont="1" applyBorder="1" applyAlignment="1">
      <alignment horizontal="right" vertical="center"/>
    </xf>
    <xf numFmtId="0" fontId="29" fillId="0" borderId="5" xfId="0" applyFont="1" applyBorder="1" applyAlignment="1">
      <alignment horizontal="right" vertical="center"/>
    </xf>
    <xf numFmtId="0" fontId="29" fillId="0" borderId="6" xfId="0" applyFont="1" applyBorder="1" applyAlignment="1">
      <alignment horizontal="right" vertical="center"/>
    </xf>
    <xf numFmtId="0" fontId="29" fillId="0" borderId="7" xfId="0" applyFont="1" applyBorder="1" applyAlignment="1">
      <alignment horizontal="left" vertical="center"/>
    </xf>
    <xf numFmtId="40" fontId="29" fillId="0" borderId="7" xfId="0" applyNumberFormat="1" applyFont="1" applyBorder="1" applyAlignment="1">
      <alignment horizontal="right" vertical="center"/>
    </xf>
    <xf numFmtId="4" fontId="29" fillId="0" borderId="13" xfId="0" applyNumberFormat="1" applyFont="1" applyBorder="1" applyAlignment="1">
      <alignment horizontal="right" vertical="center"/>
    </xf>
    <xf numFmtId="4" fontId="31" fillId="0" borderId="13" xfId="0" applyNumberFormat="1" applyFont="1" applyBorder="1" applyAlignment="1">
      <alignment horizontal="right" vertical="center"/>
    </xf>
    <xf numFmtId="0" fontId="29" fillId="0" borderId="0" xfId="0" applyFont="1"/>
    <xf numFmtId="0" fontId="25" fillId="0" borderId="9" xfId="0" applyFont="1" applyBorder="1" applyAlignment="1">
      <alignment horizontal="right" vertical="center"/>
    </xf>
    <xf numFmtId="0" fontId="25" fillId="0" borderId="11" xfId="0" applyFont="1" applyBorder="1" applyAlignment="1">
      <alignment horizontal="right" vertical="center"/>
    </xf>
    <xf numFmtId="0" fontId="28" fillId="0" borderId="12" xfId="0" applyFont="1" applyBorder="1" applyAlignment="1">
      <alignment horizontal="left" vertical="center"/>
    </xf>
    <xf numFmtId="40" fontId="30" fillId="0" borderId="13" xfId="0" applyNumberFormat="1" applyFont="1" applyBorder="1" applyAlignment="1">
      <alignment horizontal="right" vertical="center"/>
    </xf>
    <xf numFmtId="40" fontId="30" fillId="0" borderId="16" xfId="0" applyNumberFormat="1" applyFont="1" applyBorder="1" applyAlignment="1">
      <alignment horizontal="right" vertical="center"/>
    </xf>
    <xf numFmtId="0" fontId="25" fillId="0" borderId="14" xfId="0" applyFont="1" applyBorder="1" applyAlignment="1">
      <alignment horizontal="right" vertical="center"/>
    </xf>
    <xf numFmtId="0" fontId="28" fillId="0" borderId="15" xfId="0" applyFont="1" applyBorder="1" applyAlignment="1">
      <alignment horizontal="left" vertical="center"/>
    </xf>
    <xf numFmtId="0" fontId="25" fillId="0" borderId="17" xfId="0" applyFont="1" applyBorder="1" applyAlignment="1">
      <alignment horizontal="right" vertical="center"/>
    </xf>
    <xf numFmtId="0" fontId="28" fillId="0" borderId="18" xfId="0" applyFont="1" applyBorder="1" applyAlignment="1">
      <alignment horizontal="left" vertical="center"/>
    </xf>
    <xf numFmtId="40" fontId="30" fillId="0" borderId="19" xfId="0" applyNumberFormat="1" applyFont="1" applyBorder="1" applyAlignment="1">
      <alignment horizontal="right" vertical="center"/>
    </xf>
    <xf numFmtId="0" fontId="25" fillId="0" borderId="20" xfId="0" applyFont="1" applyBorder="1" applyAlignment="1">
      <alignment horizontal="right" vertical="center"/>
    </xf>
    <xf numFmtId="0" fontId="28" fillId="0" borderId="21" xfId="0" applyFont="1" applyBorder="1" applyAlignment="1">
      <alignment horizontal="left" vertical="center"/>
    </xf>
    <xf numFmtId="166" fontId="30" fillId="0" borderId="22" xfId="0" applyNumberFormat="1" applyFont="1" applyBorder="1" applyAlignment="1">
      <alignment horizontal="right" vertical="center"/>
    </xf>
    <xf numFmtId="166" fontId="30" fillId="0" borderId="23" xfId="0" applyNumberFormat="1" applyFont="1" applyBorder="1" applyAlignment="1">
      <alignment horizontal="right" vertical="center"/>
    </xf>
    <xf numFmtId="0" fontId="25" fillId="0" borderId="24" xfId="0" applyFont="1" applyBorder="1" applyAlignment="1">
      <alignment horizontal="right" vertical="center"/>
    </xf>
    <xf numFmtId="0" fontId="28" fillId="0" borderId="25" xfId="0" applyFont="1" applyBorder="1" applyAlignment="1">
      <alignment horizontal="left" vertical="center"/>
    </xf>
    <xf numFmtId="166" fontId="30" fillId="0" borderId="25" xfId="0" applyNumberFormat="1" applyFont="1" applyBorder="1" applyAlignment="1">
      <alignment horizontal="right" vertical="center"/>
    </xf>
    <xf numFmtId="166" fontId="30" fillId="0" borderId="26" xfId="0" applyNumberFormat="1" applyFont="1" applyBorder="1" applyAlignment="1">
      <alignment horizontal="right" vertical="center"/>
    </xf>
    <xf numFmtId="0" fontId="29" fillId="0" borderId="9" xfId="0" applyFont="1" applyBorder="1" applyAlignment="1">
      <alignment horizontal="right" vertical="center"/>
    </xf>
    <xf numFmtId="0" fontId="29" fillId="0" borderId="10" xfId="0" applyFont="1" applyBorder="1" applyAlignment="1">
      <alignment horizontal="right" vertical="center"/>
    </xf>
    <xf numFmtId="0" fontId="29" fillId="0" borderId="27" xfId="0" applyFont="1" applyBorder="1" applyAlignment="1">
      <alignment horizontal="right" vertical="center"/>
    </xf>
    <xf numFmtId="0" fontId="29" fillId="0" borderId="28" xfId="0" applyFont="1" applyBorder="1" applyAlignment="1">
      <alignment horizontal="left" vertical="center"/>
    </xf>
    <xf numFmtId="4" fontId="29" fillId="0" borderId="28" xfId="0" applyNumberFormat="1" applyFont="1" applyBorder="1" applyAlignment="1">
      <alignment horizontal="right" vertical="center"/>
    </xf>
    <xf numFmtId="4" fontId="30" fillId="0" borderId="19" xfId="0" applyNumberFormat="1" applyFont="1" applyBorder="1" applyAlignment="1">
      <alignment horizontal="right" vertical="center"/>
    </xf>
    <xf numFmtId="0" fontId="25" fillId="8" borderId="9" xfId="0" applyFont="1" applyFill="1" applyBorder="1" applyAlignment="1">
      <alignment horizontal="right" vertical="center"/>
    </xf>
    <xf numFmtId="0" fontId="25" fillId="8" borderId="10" xfId="0" applyFont="1" applyFill="1" applyBorder="1" applyAlignment="1">
      <alignment horizontal="right" vertical="center"/>
    </xf>
    <xf numFmtId="0" fontId="25" fillId="8" borderId="30" xfId="0" applyFont="1" applyFill="1" applyBorder="1" applyAlignment="1">
      <alignment horizontal="right" vertical="center"/>
    </xf>
    <xf numFmtId="0" fontId="28" fillId="8" borderId="31" xfId="0" applyFont="1" applyFill="1" applyBorder="1" applyAlignment="1">
      <alignment horizontal="left" vertical="center"/>
    </xf>
    <xf numFmtId="166" fontId="30" fillId="8" borderId="32" xfId="0" applyNumberFormat="1" applyFont="1" applyFill="1" applyBorder="1" applyAlignment="1">
      <alignment horizontal="right" vertical="center"/>
    </xf>
    <xf numFmtId="4" fontId="30" fillId="8" borderId="13" xfId="0" applyNumberFormat="1" applyFont="1" applyFill="1" applyBorder="1" applyAlignment="1">
      <alignment horizontal="right" vertical="center"/>
    </xf>
    <xf numFmtId="166" fontId="30" fillId="8" borderId="33" xfId="0" applyNumberFormat="1" applyFont="1" applyFill="1" applyBorder="1" applyAlignment="1">
      <alignment horizontal="right" vertical="center"/>
    </xf>
    <xf numFmtId="0" fontId="28" fillId="8" borderId="0" xfId="0" applyFont="1" applyFill="1"/>
    <xf numFmtId="4" fontId="30" fillId="0" borderId="13" xfId="0" applyNumberFormat="1" applyFont="1" applyBorder="1" applyAlignment="1">
      <alignment horizontal="right" vertical="center"/>
    </xf>
    <xf numFmtId="0" fontId="29" fillId="0" borderId="0" xfId="0" applyFont="1" applyAlignment="1">
      <alignment horizontal="center"/>
    </xf>
    <xf numFmtId="4" fontId="25" fillId="5" borderId="28" xfId="0" applyNumberFormat="1" applyFont="1" applyFill="1" applyBorder="1" applyAlignment="1">
      <alignment horizontal="right" vertical="center"/>
    </xf>
    <xf numFmtId="168" fontId="27" fillId="0" borderId="35" xfId="0" applyNumberFormat="1" applyFont="1" applyBorder="1" applyAlignment="1">
      <alignment horizontal="right" vertical="center"/>
    </xf>
    <xf numFmtId="166" fontId="27" fillId="5" borderId="29" xfId="0" applyNumberFormat="1" applyFont="1" applyFill="1" applyBorder="1" applyAlignment="1">
      <alignment horizontal="right" vertical="center"/>
    </xf>
    <xf numFmtId="0" fontId="24" fillId="5" borderId="1" xfId="0" applyFont="1" applyFill="1" applyBorder="1" applyAlignment="1">
      <alignment vertical="center"/>
    </xf>
    <xf numFmtId="0" fontId="24" fillId="5" borderId="1" xfId="0" applyFont="1" applyFill="1" applyBorder="1" applyAlignment="1">
      <alignment horizontal="right" vertical="center"/>
    </xf>
    <xf numFmtId="0" fontId="23" fillId="5" borderId="1" xfId="0" applyFont="1" applyFill="1" applyBorder="1"/>
    <xf numFmtId="0" fontId="33" fillId="5" borderId="1" xfId="0" applyFont="1" applyFill="1" applyBorder="1" applyAlignment="1">
      <alignment vertical="center"/>
    </xf>
    <xf numFmtId="0" fontId="24" fillId="0" borderId="0" xfId="0" applyFont="1"/>
    <xf numFmtId="0" fontId="24" fillId="5" borderId="0" xfId="0" applyFont="1" applyFill="1" applyAlignment="1">
      <alignment vertical="center"/>
    </xf>
    <xf numFmtId="0" fontId="24" fillId="5" borderId="0" xfId="0" applyFont="1" applyFill="1" applyAlignment="1">
      <alignment horizontal="right" vertical="center"/>
    </xf>
    <xf numFmtId="0" fontId="24" fillId="5" borderId="0" xfId="0" applyFont="1" applyFill="1" applyAlignment="1">
      <alignment horizontal="left" vertical="center"/>
    </xf>
    <xf numFmtId="0" fontId="33" fillId="5" borderId="0" xfId="0" applyFont="1" applyFill="1" applyAlignment="1">
      <alignment vertical="center"/>
    </xf>
    <xf numFmtId="0" fontId="24" fillId="5" borderId="2" xfId="0" applyFont="1" applyFill="1" applyBorder="1" applyAlignment="1">
      <alignment vertical="center"/>
    </xf>
    <xf numFmtId="0" fontId="24" fillId="5" borderId="2" xfId="0" applyFont="1" applyFill="1" applyBorder="1" applyAlignment="1">
      <alignment horizontal="right" vertical="center"/>
    </xf>
    <xf numFmtId="0" fontId="24" fillId="5" borderId="2" xfId="0" applyFont="1" applyFill="1" applyBorder="1" applyAlignment="1">
      <alignment horizontal="left" vertical="top"/>
    </xf>
    <xf numFmtId="0" fontId="33" fillId="5" borderId="2" xfId="0" applyFont="1" applyFill="1" applyBorder="1" applyAlignment="1">
      <alignment vertical="top"/>
    </xf>
    <xf numFmtId="0" fontId="24" fillId="5" borderId="2" xfId="0" applyFont="1" applyFill="1" applyBorder="1" applyAlignment="1">
      <alignment vertical="top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vertical="center" wrapText="1"/>
    </xf>
    <xf numFmtId="0" fontId="3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33" fillId="0" borderId="0" xfId="0" applyFont="1" applyAlignment="1">
      <alignment horizontal="right" vertical="center"/>
    </xf>
    <xf numFmtId="0" fontId="24" fillId="0" borderId="0" xfId="0" applyFont="1" applyAlignment="1">
      <alignment horizontal="center"/>
    </xf>
    <xf numFmtId="0" fontId="23" fillId="5" borderId="63" xfId="0" applyFont="1" applyFill="1" applyBorder="1" applyAlignment="1">
      <alignment vertical="center"/>
    </xf>
    <xf numFmtId="0" fontId="23" fillId="5" borderId="63" xfId="0" applyFont="1" applyFill="1" applyBorder="1" applyAlignment="1">
      <alignment vertical="center" wrapText="1"/>
    </xf>
    <xf numFmtId="168" fontId="24" fillId="5" borderId="63" xfId="0" applyNumberFormat="1" applyFont="1" applyFill="1" applyBorder="1" applyAlignment="1">
      <alignment horizontal="right" vertical="center"/>
    </xf>
    <xf numFmtId="166" fontId="33" fillId="5" borderId="63" xfId="0" applyNumberFormat="1" applyFont="1" applyFill="1" applyBorder="1" applyAlignment="1">
      <alignment horizontal="right" vertical="center"/>
    </xf>
    <xf numFmtId="166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vertical="top"/>
    </xf>
    <xf numFmtId="0" fontId="24" fillId="0" borderId="0" xfId="0" applyFont="1" applyAlignment="1">
      <alignment horizontal="right" vertical="top"/>
    </xf>
    <xf numFmtId="0" fontId="23" fillId="5" borderId="64" xfId="0" applyFont="1" applyFill="1" applyBorder="1" applyAlignment="1">
      <alignment vertical="top"/>
    </xf>
    <xf numFmtId="0" fontId="23" fillId="5" borderId="65" xfId="0" applyFont="1" applyFill="1" applyBorder="1" applyAlignment="1">
      <alignment vertical="top" wrapText="1"/>
    </xf>
    <xf numFmtId="168" fontId="24" fillId="5" borderId="65" xfId="0" applyNumberFormat="1" applyFont="1" applyFill="1" applyBorder="1" applyAlignment="1">
      <alignment horizontal="right" vertical="top"/>
    </xf>
    <xf numFmtId="166" fontId="33" fillId="5" borderId="64" xfId="0" applyNumberFormat="1" applyFont="1" applyFill="1" applyBorder="1" applyAlignment="1">
      <alignment horizontal="right" vertical="top"/>
    </xf>
    <xf numFmtId="166" fontId="24" fillId="0" borderId="0" xfId="0" applyNumberFormat="1" applyFont="1" applyAlignment="1">
      <alignment horizontal="right" vertical="top"/>
    </xf>
    <xf numFmtId="0" fontId="24" fillId="0" borderId="0" xfId="0" applyFont="1" applyAlignment="1">
      <alignment horizontal="right"/>
    </xf>
    <xf numFmtId="0" fontId="23" fillId="5" borderId="64" xfId="0" applyFont="1" applyFill="1" applyBorder="1"/>
    <xf numFmtId="0" fontId="23" fillId="5" borderId="66" xfId="0" applyFont="1" applyFill="1" applyBorder="1" applyAlignment="1">
      <alignment vertical="center" wrapText="1"/>
    </xf>
    <xf numFmtId="168" fontId="24" fillId="5" borderId="66" xfId="0" applyNumberFormat="1" applyFont="1" applyFill="1" applyBorder="1" applyAlignment="1">
      <alignment horizontal="right" vertical="center"/>
    </xf>
    <xf numFmtId="166" fontId="33" fillId="5" borderId="64" xfId="0" applyNumberFormat="1" applyFont="1" applyFill="1" applyBorder="1" applyAlignment="1">
      <alignment horizontal="right"/>
    </xf>
    <xf numFmtId="166" fontId="23" fillId="0" borderId="0" xfId="0" applyNumberFormat="1" applyFont="1" applyAlignment="1">
      <alignment horizontal="right"/>
    </xf>
    <xf numFmtId="0" fontId="23" fillId="5" borderId="64" xfId="0" applyFont="1" applyFill="1" applyBorder="1" applyAlignment="1">
      <alignment vertical="center"/>
    </xf>
    <xf numFmtId="0" fontId="23" fillId="5" borderId="64" xfId="0" applyFont="1" applyFill="1" applyBorder="1" applyAlignment="1">
      <alignment vertical="top" wrapText="1"/>
    </xf>
    <xf numFmtId="168" fontId="24" fillId="5" borderId="64" xfId="0" applyNumberFormat="1" applyFont="1" applyFill="1" applyBorder="1" applyAlignment="1">
      <alignment horizontal="right" vertical="top"/>
    </xf>
    <xf numFmtId="166" fontId="33" fillId="5" borderId="64" xfId="0" applyNumberFormat="1" applyFont="1" applyFill="1" applyBorder="1" applyAlignment="1">
      <alignment horizontal="right" vertical="center"/>
    </xf>
    <xf numFmtId="0" fontId="23" fillId="0" borderId="0" xfId="0" applyFont="1" applyAlignment="1">
      <alignment horizontal="right" vertical="center"/>
    </xf>
    <xf numFmtId="169" fontId="24" fillId="3" borderId="0" xfId="0" applyNumberFormat="1" applyFont="1" applyFill="1" applyAlignment="1">
      <alignment horizontal="right" vertical="center"/>
    </xf>
    <xf numFmtId="0" fontId="24" fillId="0" borderId="67" xfId="0" applyFont="1" applyBorder="1" applyAlignment="1">
      <alignment horizontal="right"/>
    </xf>
    <xf numFmtId="166" fontId="23" fillId="5" borderId="63" xfId="0" applyNumberFormat="1" applyFont="1" applyFill="1" applyBorder="1" applyAlignment="1">
      <alignment vertical="center"/>
    </xf>
    <xf numFmtId="166" fontId="23" fillId="5" borderId="63" xfId="0" applyNumberFormat="1" applyFont="1" applyFill="1" applyBorder="1" applyAlignment="1">
      <alignment vertical="center" wrapText="1"/>
    </xf>
    <xf numFmtId="166" fontId="24" fillId="0" borderId="48" xfId="0" applyNumberFormat="1" applyFont="1" applyBorder="1" applyAlignment="1">
      <alignment horizontal="right" vertical="center"/>
    </xf>
    <xf numFmtId="0" fontId="24" fillId="0" borderId="68" xfId="0" applyFont="1" applyBorder="1" applyAlignment="1">
      <alignment horizontal="right"/>
    </xf>
    <xf numFmtId="166" fontId="23" fillId="5" borderId="64" xfId="0" applyNumberFormat="1" applyFont="1" applyFill="1" applyBorder="1" applyAlignment="1">
      <alignment vertical="center"/>
    </xf>
    <xf numFmtId="166" fontId="23" fillId="5" borderId="64" xfId="0" applyNumberFormat="1" applyFont="1" applyFill="1" applyBorder="1" applyAlignment="1">
      <alignment vertical="center" wrapText="1"/>
    </xf>
    <xf numFmtId="168" fontId="24" fillId="5" borderId="64" xfId="0" applyNumberFormat="1" applyFont="1" applyFill="1" applyBorder="1" applyAlignment="1">
      <alignment horizontal="right" vertical="center"/>
    </xf>
    <xf numFmtId="166" fontId="23" fillId="0" borderId="0" xfId="0" applyNumberFormat="1" applyFont="1" applyAlignment="1">
      <alignment vertical="center"/>
    </xf>
    <xf numFmtId="166" fontId="23" fillId="0" borderId="69" xfId="0" applyNumberFormat="1" applyFont="1" applyBorder="1" applyAlignment="1">
      <alignment vertical="center" wrapText="1"/>
    </xf>
    <xf numFmtId="166" fontId="24" fillId="0" borderId="69" xfId="0" applyNumberFormat="1" applyFont="1" applyBorder="1" applyAlignment="1">
      <alignment horizontal="right" vertical="center"/>
    </xf>
    <xf numFmtId="166" fontId="33" fillId="0" borderId="69" xfId="0" applyNumberFormat="1" applyFont="1" applyBorder="1" applyAlignment="1">
      <alignment horizontal="right" vertical="center"/>
    </xf>
    <xf numFmtId="166" fontId="33" fillId="0" borderId="0" xfId="0" applyNumberFormat="1" applyFont="1" applyAlignment="1">
      <alignment horizontal="right" vertical="center"/>
    </xf>
    <xf numFmtId="166" fontId="33" fillId="0" borderId="70" xfId="0" applyNumberFormat="1" applyFont="1" applyBorder="1" applyAlignment="1">
      <alignment horizontal="right" vertical="center"/>
    </xf>
    <xf numFmtId="0" fontId="24" fillId="0" borderId="71" xfId="0" applyFont="1" applyBorder="1" applyAlignment="1">
      <alignment horizontal="right" vertical="center"/>
    </xf>
    <xf numFmtId="168" fontId="33" fillId="5" borderId="63" xfId="0" applyNumberFormat="1" applyFont="1" applyFill="1" applyBorder="1" applyAlignment="1">
      <alignment horizontal="right" vertical="center"/>
    </xf>
    <xf numFmtId="0" fontId="24" fillId="0" borderId="48" xfId="0" applyFont="1" applyBorder="1" applyAlignment="1">
      <alignment horizontal="right" vertical="center"/>
    </xf>
    <xf numFmtId="168" fontId="33" fillId="5" borderId="64" xfId="0" applyNumberFormat="1" applyFont="1" applyFill="1" applyBorder="1" applyAlignment="1">
      <alignment horizontal="right" vertical="center"/>
    </xf>
    <xf numFmtId="166" fontId="23" fillId="5" borderId="37" xfId="0" applyNumberFormat="1" applyFont="1" applyFill="1" applyBorder="1" applyAlignment="1">
      <alignment vertical="center"/>
    </xf>
    <xf numFmtId="166" fontId="23" fillId="5" borderId="37" xfId="0" applyNumberFormat="1" applyFont="1" applyFill="1" applyBorder="1" applyAlignment="1">
      <alignment vertical="center" wrapText="1"/>
    </xf>
    <xf numFmtId="166" fontId="33" fillId="5" borderId="37" xfId="0" applyNumberFormat="1" applyFont="1" applyFill="1" applyBorder="1" applyAlignment="1">
      <alignment horizontal="right" vertical="center"/>
    </xf>
    <xf numFmtId="0" fontId="24" fillId="0" borderId="33" xfId="0" applyFont="1" applyBorder="1" applyAlignment="1">
      <alignment horizontal="right" vertical="center"/>
    </xf>
    <xf numFmtId="0" fontId="23" fillId="5" borderId="0" xfId="0" applyFont="1" applyFill="1" applyAlignment="1">
      <alignment vertical="center" wrapText="1"/>
    </xf>
    <xf numFmtId="0" fontId="24" fillId="5" borderId="0" xfId="0" applyFont="1" applyFill="1"/>
    <xf numFmtId="166" fontId="33" fillId="5" borderId="0" xfId="0" applyNumberFormat="1" applyFont="1" applyFill="1" applyAlignment="1">
      <alignment horizontal="right" vertical="center"/>
    </xf>
    <xf numFmtId="0" fontId="24" fillId="0" borderId="0" xfId="0" applyFont="1" applyAlignment="1">
      <alignment wrapText="1"/>
    </xf>
    <xf numFmtId="166" fontId="24" fillId="0" borderId="33" xfId="0" applyNumberFormat="1" applyFont="1" applyBorder="1" applyAlignment="1">
      <alignment horizontal="right" vertical="center"/>
    </xf>
    <xf numFmtId="166" fontId="24" fillId="0" borderId="0" xfId="0" applyNumberFormat="1" applyFont="1"/>
    <xf numFmtId="166" fontId="24" fillId="0" borderId="0" xfId="0" applyNumberFormat="1" applyFont="1" applyAlignment="1">
      <alignment vertical="center"/>
    </xf>
    <xf numFmtId="166" fontId="24" fillId="3" borderId="0" xfId="0" applyNumberFormat="1" applyFont="1" applyFill="1" applyAlignment="1">
      <alignment vertical="center"/>
    </xf>
    <xf numFmtId="166" fontId="33" fillId="0" borderId="0" xfId="0" applyNumberFormat="1" applyFont="1" applyAlignment="1">
      <alignment vertical="center"/>
    </xf>
    <xf numFmtId="0" fontId="35" fillId="0" borderId="0" xfId="0" applyFont="1" applyAlignment="1">
      <alignment horizontal="left" vertical="center" wrapText="1"/>
    </xf>
    <xf numFmtId="168" fontId="24" fillId="5" borderId="63" xfId="0" applyNumberFormat="1" applyFont="1" applyFill="1" applyBorder="1" applyAlignment="1">
      <alignment horizontal="center" vertical="center"/>
    </xf>
    <xf numFmtId="168" fontId="24" fillId="5" borderId="65" xfId="0" applyNumberFormat="1" applyFont="1" applyFill="1" applyBorder="1" applyAlignment="1">
      <alignment horizontal="center" vertical="top"/>
    </xf>
    <xf numFmtId="168" fontId="24" fillId="5" borderId="66" xfId="0" applyNumberFormat="1" applyFont="1" applyFill="1" applyBorder="1" applyAlignment="1">
      <alignment horizontal="center" vertical="center"/>
    </xf>
    <xf numFmtId="168" fontId="24" fillId="5" borderId="64" xfId="0" applyNumberFormat="1" applyFont="1" applyFill="1" applyBorder="1" applyAlignment="1">
      <alignment horizontal="center" vertical="top"/>
    </xf>
    <xf numFmtId="168" fontId="24" fillId="5" borderId="64" xfId="0" applyNumberFormat="1" applyFont="1" applyFill="1" applyBorder="1" applyAlignment="1">
      <alignment horizontal="center" vertical="center"/>
    </xf>
    <xf numFmtId="0" fontId="33" fillId="0" borderId="69" xfId="0" applyFont="1" applyBorder="1" applyAlignment="1">
      <alignment horizontal="center" vertical="center"/>
    </xf>
    <xf numFmtId="166" fontId="33" fillId="0" borderId="70" xfId="0" applyNumberFormat="1" applyFont="1" applyBorder="1" applyAlignment="1">
      <alignment horizontal="center" vertical="center"/>
    </xf>
    <xf numFmtId="166" fontId="33" fillId="0" borderId="0" xfId="0" applyNumberFormat="1" applyFont="1" applyAlignment="1">
      <alignment horizontal="center" vertical="center"/>
    </xf>
    <xf numFmtId="4" fontId="25" fillId="5" borderId="56" xfId="0" applyNumberFormat="1" applyFont="1" applyFill="1" applyBorder="1" applyAlignment="1">
      <alignment horizontal="right" vertical="center"/>
    </xf>
    <xf numFmtId="4" fontId="23" fillId="0" borderId="9" xfId="0" applyNumberFormat="1" applyFont="1" applyBorder="1" applyAlignment="1">
      <alignment horizontal="right" vertical="center" wrapText="1"/>
    </xf>
    <xf numFmtId="4" fontId="29" fillId="0" borderId="0" xfId="0" applyNumberFormat="1" applyFont="1"/>
    <xf numFmtId="4" fontId="28" fillId="0" borderId="0" xfId="0" applyNumberFormat="1" applyFont="1"/>
    <xf numFmtId="0" fontId="24" fillId="4" borderId="9" xfId="0" applyFont="1" applyFill="1" applyBorder="1" applyAlignment="1">
      <alignment horizontal="left" vertical="center" wrapText="1"/>
    </xf>
    <xf numFmtId="0" fontId="23" fillId="4" borderId="9" xfId="0" applyFont="1" applyFill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24" fillId="9" borderId="61" xfId="0" applyFont="1" applyFill="1" applyBorder="1" applyAlignment="1">
      <alignment horizontal="left" vertical="center" wrapText="1"/>
    </xf>
    <xf numFmtId="0" fontId="24" fillId="4" borderId="61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left"/>
    </xf>
    <xf numFmtId="0" fontId="23" fillId="10" borderId="0" xfId="0" applyFont="1" applyFill="1" applyAlignment="1">
      <alignment horizontal="center" vertical="center"/>
    </xf>
    <xf numFmtId="0" fontId="34" fillId="10" borderId="0" xfId="0" applyFont="1" applyFill="1" applyAlignment="1">
      <alignment horizontal="center" vertical="center"/>
    </xf>
    <xf numFmtId="166" fontId="23" fillId="11" borderId="3" xfId="0" applyNumberFormat="1" applyFont="1" applyFill="1" applyBorder="1" applyAlignment="1">
      <alignment horizontal="center" vertical="center"/>
    </xf>
    <xf numFmtId="166" fontId="23" fillId="11" borderId="3" xfId="0" applyNumberFormat="1" applyFont="1" applyFill="1" applyBorder="1" applyAlignment="1">
      <alignment horizontal="center" vertical="center" wrapText="1"/>
    </xf>
    <xf numFmtId="0" fontId="23" fillId="11" borderId="3" xfId="0" applyFont="1" applyFill="1" applyBorder="1" applyAlignment="1">
      <alignment horizontal="center" vertical="center"/>
    </xf>
    <xf numFmtId="169" fontId="23" fillId="11" borderId="3" xfId="0" applyNumberFormat="1" applyFont="1" applyFill="1" applyBorder="1" applyAlignment="1">
      <alignment horizontal="center" vertical="center"/>
    </xf>
    <xf numFmtId="0" fontId="34" fillId="11" borderId="3" xfId="0" applyFont="1" applyFill="1" applyBorder="1" applyAlignment="1">
      <alignment horizontal="center" vertical="center"/>
    </xf>
    <xf numFmtId="169" fontId="34" fillId="11" borderId="3" xfId="0" applyNumberFormat="1" applyFont="1" applyFill="1" applyBorder="1" applyAlignment="1">
      <alignment horizontal="center" vertical="center"/>
    </xf>
    <xf numFmtId="0" fontId="23" fillId="10" borderId="0" xfId="0" applyFont="1" applyFill="1" applyAlignment="1">
      <alignment horizontal="center"/>
    </xf>
    <xf numFmtId="166" fontId="25" fillId="11" borderId="3" xfId="0" applyNumberFormat="1" applyFont="1" applyFill="1" applyBorder="1" applyAlignment="1">
      <alignment horizontal="center" vertical="center"/>
    </xf>
    <xf numFmtId="167" fontId="25" fillId="11" borderId="3" xfId="0" applyNumberFormat="1" applyFont="1" applyFill="1" applyBorder="1" applyAlignment="1">
      <alignment horizontal="center" vertical="center"/>
    </xf>
    <xf numFmtId="0" fontId="29" fillId="10" borderId="0" xfId="0" applyFont="1" applyFill="1" applyAlignment="1">
      <alignment horizontal="center"/>
    </xf>
    <xf numFmtId="166" fontId="27" fillId="11" borderId="3" xfId="0" applyNumberFormat="1" applyFont="1" applyFill="1" applyBorder="1" applyAlignment="1">
      <alignment horizontal="center" vertical="center"/>
    </xf>
    <xf numFmtId="0" fontId="27" fillId="11" borderId="3" xfId="0" applyFont="1" applyFill="1" applyBorder="1" applyAlignment="1">
      <alignment horizontal="center" vertical="center"/>
    </xf>
    <xf numFmtId="0" fontId="29" fillId="0" borderId="4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top" wrapText="1"/>
    </xf>
    <xf numFmtId="0" fontId="29" fillId="0" borderId="9" xfId="0" applyFont="1" applyBorder="1" applyAlignment="1">
      <alignment horizontal="left" vertical="center" wrapText="1"/>
    </xf>
    <xf numFmtId="0" fontId="24" fillId="8" borderId="9" xfId="0" applyFont="1" applyFill="1" applyBorder="1" applyAlignment="1">
      <alignment horizontal="left" vertical="top" wrapText="1"/>
    </xf>
    <xf numFmtId="0" fontId="23" fillId="11" borderId="72" xfId="0" applyFont="1" applyFill="1" applyBorder="1" applyAlignment="1">
      <alignment horizontal="center" vertical="center" wrapText="1"/>
    </xf>
    <xf numFmtId="0" fontId="25" fillId="11" borderId="73" xfId="0" applyFont="1" applyFill="1" applyBorder="1" applyAlignment="1">
      <alignment horizontal="center" vertical="center"/>
    </xf>
    <xf numFmtId="0" fontId="32" fillId="11" borderId="74" xfId="0" applyFont="1" applyFill="1" applyBorder="1" applyAlignment="1">
      <alignment horizontal="center" vertical="center"/>
    </xf>
    <xf numFmtId="0" fontId="25" fillId="11" borderId="72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left" vertical="center" wrapText="1"/>
    </xf>
    <xf numFmtId="4" fontId="25" fillId="5" borderId="7" xfId="0" applyNumberFormat="1" applyFont="1" applyFill="1" applyBorder="1" applyAlignment="1">
      <alignment horizontal="right" vertical="center"/>
    </xf>
    <xf numFmtId="166" fontId="27" fillId="5" borderId="8" xfId="0" applyNumberFormat="1" applyFont="1" applyFill="1" applyBorder="1" applyAlignment="1">
      <alignment horizontal="right" vertical="center"/>
    </xf>
    <xf numFmtId="4" fontId="27" fillId="0" borderId="37" xfId="0" applyNumberFormat="1" applyFont="1" applyBorder="1" applyAlignment="1">
      <alignment horizontal="right" vertical="center"/>
    </xf>
    <xf numFmtId="17" fontId="25" fillId="11" borderId="3" xfId="0" applyNumberFormat="1" applyFont="1" applyFill="1" applyBorder="1" applyAlignment="1">
      <alignment horizontal="center" vertical="center"/>
    </xf>
    <xf numFmtId="17" fontId="25" fillId="10" borderId="3" xfId="0" applyNumberFormat="1" applyFont="1" applyFill="1" applyBorder="1" applyAlignment="1">
      <alignment horizontal="center" vertical="center"/>
    </xf>
    <xf numFmtId="17" fontId="23" fillId="11" borderId="3" xfId="0" applyNumberFormat="1" applyFont="1" applyFill="1" applyBorder="1" applyAlignment="1">
      <alignment horizontal="center" vertical="center"/>
    </xf>
    <xf numFmtId="0" fontId="32" fillId="11" borderId="74" xfId="0" applyFont="1" applyFill="1" applyBorder="1" applyAlignment="1">
      <alignment horizontal="left" vertical="center"/>
    </xf>
    <xf numFmtId="166" fontId="20" fillId="0" borderId="0" xfId="0" applyNumberFormat="1" applyFont="1" applyAlignment="1">
      <alignment vertical="center" wrapText="1"/>
    </xf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0" borderId="1" xfId="0" applyFont="1" applyBorder="1"/>
    <xf numFmtId="0" fontId="9" fillId="2" borderId="0" xfId="0" applyFont="1" applyFill="1" applyAlignment="1">
      <alignment vertical="top" wrapText="1"/>
    </xf>
    <xf numFmtId="0" fontId="14" fillId="3" borderId="0" xfId="0" applyFont="1" applyFill="1" applyAlignment="1">
      <alignment horizontal="left" vertical="top"/>
    </xf>
    <xf numFmtId="0" fontId="14" fillId="3" borderId="0" xfId="0" applyFont="1" applyFill="1" applyAlignment="1">
      <alignment horizontal="left" vertical="top" wrapText="1"/>
    </xf>
    <xf numFmtId="0" fontId="23" fillId="5" borderId="1" xfId="0" applyFont="1" applyFill="1" applyBorder="1" applyAlignment="1">
      <alignment horizontal="left" wrapText="1"/>
    </xf>
    <xf numFmtId="0" fontId="24" fillId="0" borderId="1" xfId="0" applyFont="1" applyBorder="1"/>
    <xf numFmtId="0" fontId="23" fillId="5" borderId="1" xfId="0" applyFont="1" applyFill="1" applyBorder="1" applyAlignment="1">
      <alignment horizontal="left"/>
    </xf>
    <xf numFmtId="0" fontId="24" fillId="5" borderId="0" xfId="0" applyFont="1" applyFill="1" applyAlignment="1">
      <alignment horizontal="left" vertical="center" wrapText="1"/>
    </xf>
    <xf numFmtId="0" fontId="24" fillId="0" borderId="0" xfId="0" applyFont="1"/>
    <xf numFmtId="0" fontId="23" fillId="5" borderId="0" xfId="0" applyFont="1" applyFill="1" applyAlignment="1">
      <alignment horizontal="left" vertical="center"/>
    </xf>
    <xf numFmtId="0" fontId="24" fillId="5" borderId="2" xfId="0" applyFont="1" applyFill="1" applyBorder="1" applyAlignment="1">
      <alignment horizontal="left" vertical="top" wrapText="1"/>
    </xf>
    <xf numFmtId="0" fontId="24" fillId="0" borderId="2" xfId="0" applyFont="1" applyBorder="1"/>
    <xf numFmtId="0" fontId="24" fillId="5" borderId="2" xfId="0" applyFont="1" applyFill="1" applyBorder="1" applyAlignment="1">
      <alignment horizontal="left" vertical="top"/>
    </xf>
  </cellXfs>
  <cellStyles count="4">
    <cellStyle name="Comma 2" xfId="2" xr:uid="{00000000-0005-0000-0000-000000000000}"/>
    <cellStyle name="Normal" xfId="0" builtinId="0"/>
    <cellStyle name="S6" xfId="1" xr:uid="{00000000-0005-0000-0000-000002000000}"/>
    <cellStyle name="S8" xfId="3" xr:uid="{00000000-0005-0000-0000-000003000000}"/>
  </cellStyles>
  <dxfs count="1">
    <dxf>
      <font>
        <color rgb="FFF46524"/>
      </font>
      <fill>
        <patternFill patternType="none"/>
      </fill>
    </dxf>
  </dxfs>
  <tableStyles count="0" defaultTableStyle="TableStyleMedium2" defaultPivotStyle="PivotStyleLight16"/>
  <colors>
    <mruColors>
      <color rgb="FF008000"/>
      <color rgb="FF00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3380000000000004E-2"/>
          <c:y val="0.19128000000000001"/>
          <c:w val="0.90894999999999992"/>
          <c:h val="0.6745000000000001"/>
        </c:manualLayout>
      </c:layout>
      <c:areaChart>
        <c:grouping val="standard"/>
        <c:varyColors val="1"/>
        <c:ser>
          <c:idx val="2"/>
          <c:order val="2"/>
          <c:tx>
            <c:strRef>
              <c:f>Summary!$D$24</c:f>
              <c:strCache>
                <c:ptCount val="1"/>
                <c:pt idx="0">
                  <c:v>Ending balance</c:v>
                </c:pt>
              </c:strCache>
            </c:strRef>
          </c:tx>
          <c:spPr>
            <a:solidFill>
              <a:srgbClr val="999999">
                <a:alpha val="5000"/>
              </a:srgbClr>
            </a:solidFill>
            <a:ln w="9525" cmpd="sng">
              <a:solidFill>
                <a:srgbClr val="999999">
                  <a:alpha val="100000"/>
                </a:srgbClr>
              </a:solidFill>
            </a:ln>
          </c:spPr>
          <c:cat>
            <c:numRef>
              <c:f>Summary!$E$20:$X$20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Summary!$E$24:$X$24</c:f>
              <c:numCache>
                <c:formatCode>#,##0.00;\(#,##0.00\)</c:formatCode>
                <c:ptCount val="12"/>
                <c:pt idx="0">
                  <c:v>-20000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F-487E-AF4A-1A48F3A64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693040"/>
        <c:axId val="438704016"/>
      </c:areaChart>
      <c:lineChart>
        <c:grouping val="standard"/>
        <c:varyColors val="1"/>
        <c:ser>
          <c:idx val="0"/>
          <c:order val="0"/>
          <c:tx>
            <c:strRef>
              <c:f>Summary!$D$21</c:f>
              <c:strCache>
                <c:ptCount val="1"/>
                <c:pt idx="0">
                  <c:v>Income</c:v>
                </c:pt>
              </c:strCache>
            </c:strRef>
          </c:tx>
          <c:spPr>
            <a:ln w="19050" cmpd="sng">
              <a:solidFill>
                <a:srgbClr val="6AA84F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6AA84F">
                  <a:alpha val="100000"/>
                </a:srgbClr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marker>
          <c:cat>
            <c:numRef>
              <c:f>Summary!$E$20:$X$20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Summary!$E$21:$X$21</c:f>
              <c:numCache>
                <c:formatCode>#,##0.00;\(#,##0.00\)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4F-487E-AF4A-1A48F3A6439C}"/>
            </c:ext>
          </c:extLst>
        </c:ser>
        <c:ser>
          <c:idx val="1"/>
          <c:order val="1"/>
          <c:tx>
            <c:strRef>
              <c:f>Summary!$D$22</c:f>
              <c:strCache>
                <c:ptCount val="1"/>
                <c:pt idx="0">
                  <c:v>Expenses</c:v>
                </c:pt>
              </c:strCache>
            </c:strRef>
          </c:tx>
          <c:spPr>
            <a:ln w="9525" cmpd="sng">
              <a:solidFill>
                <a:srgbClr val="DC3912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DC3912">
                  <a:alpha val="100000"/>
                </a:srgbClr>
              </a:solidFill>
              <a:ln cmpd="sng">
                <a:solidFill>
                  <a:srgbClr val="DC3912">
                    <a:alpha val="100000"/>
                  </a:srgbClr>
                </a:solidFill>
              </a:ln>
            </c:spPr>
          </c:marker>
          <c:cat>
            <c:numRef>
              <c:f>Summary!$E$20:$X$20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Summary!$E$22:$X$22</c:f>
              <c:numCache>
                <c:formatCode>#,##0.00;\(#,##0.00\)</c:formatCode>
                <c:ptCount val="12"/>
                <c:pt idx="0">
                  <c:v>20000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4F-487E-AF4A-1A48F3A64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693040"/>
        <c:axId val="438704016"/>
      </c:lineChart>
      <c:dateAx>
        <c:axId val="43869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lang="en-US" sz="1200" b="0" i="1">
                    <a:solidFill>
                      <a:srgbClr val="434343"/>
                    </a:solidFill>
                    <a:latin typeface="Roboto"/>
                  </a:defRPr>
                </a:pPr>
                <a:endParaRPr lang="en-ID"/>
              </a:p>
            </c:rich>
          </c:tx>
          <c:overlay val="0"/>
        </c:title>
        <c:numFmt formatCode="mmm\-yy" sourceLinked="1"/>
        <c:majorTickMark val="none"/>
        <c:minorTickMark val="none"/>
        <c:tickLblPos val="nextTo"/>
        <c:txPr>
          <a:bodyPr/>
          <a:lstStyle/>
          <a:p>
            <a:pPr lvl="0">
              <a:defRPr lang="en-US" sz="1100" b="0">
                <a:solidFill>
                  <a:srgbClr val="434343"/>
                </a:solidFill>
                <a:latin typeface="Roboto"/>
              </a:defRPr>
            </a:pPr>
            <a:endParaRPr lang="en-US"/>
          </a:p>
        </c:txPr>
        <c:crossAx val="438704016"/>
        <c:crosses val="autoZero"/>
        <c:auto val="1"/>
        <c:lblOffset val="100"/>
        <c:baseTimeUnit val="months"/>
      </c:dateAx>
      <c:valAx>
        <c:axId val="438704016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lang="en-US" b="0">
                    <a:solidFill>
                      <a:srgbClr val="000000"/>
                    </a:solidFill>
                    <a:latin typeface="Roboto"/>
                  </a:defRPr>
                </a:pPr>
                <a:endParaRPr lang="en-ID"/>
              </a:p>
            </c:rich>
          </c:tx>
          <c:overlay val="0"/>
        </c:title>
        <c:numFmt formatCode="#,##0.00;\(#,##0.00\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lang="en-US" sz="1100" b="0">
                <a:solidFill>
                  <a:srgbClr val="222222"/>
                </a:solidFill>
                <a:latin typeface="Roboto"/>
              </a:defRPr>
            </a:pPr>
            <a:endParaRPr lang="en-US"/>
          </a:p>
        </c:txPr>
        <c:crossAx val="438693040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lang="en-US" sz="1100" b="0">
              <a:solidFill>
                <a:srgbClr val="434343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lang="en-US" sz="1200" b="1" i="0">
                <a:solidFill>
                  <a:srgbClr val="434343"/>
                </a:solidFill>
                <a:latin typeface="Roboto"/>
              </a:defRPr>
            </a:pPr>
            <a:r>
              <a:rPr lang="en-ID" sz="1200" b="1" i="0">
                <a:solidFill>
                  <a:srgbClr val="434343"/>
                </a:solidFill>
                <a:latin typeface="Roboto"/>
              </a:rPr>
              <a:t>Average Rp spent per category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7960000000000023E-2"/>
          <c:y val="0.16573000000000004"/>
          <c:w val="0.93160000000000021"/>
          <c:h val="0.64554012522361381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Summary!$D$33:$D$44</c:f>
              <c:strCache>
                <c:ptCount val="12"/>
                <c:pt idx="0">
                  <c:v>Beban Gaji</c:v>
                </c:pt>
                <c:pt idx="1">
                  <c:v>Beban Akademik Operasional</c:v>
                </c:pt>
                <c:pt idx="2">
                  <c:v>Beban Kantor Umum</c:v>
                </c:pt>
                <c:pt idx="3">
                  <c:v>Beban Pemeliharaan</c:v>
                </c:pt>
                <c:pt idx="4">
                  <c:v>Beban Marketing</c:v>
                </c:pt>
                <c:pt idx="5">
                  <c:v>Beban Asuransi</c:v>
                </c:pt>
                <c:pt idx="6">
                  <c:v>Beban Penghapusan Piutang Mahasiswa</c:v>
                </c:pt>
                <c:pt idx="7">
                  <c:v>Beban Sertifikasi &amp; Proyek lainnya</c:v>
                </c:pt>
                <c:pt idx="8">
                  <c:v>Beban Pasca Kerja</c:v>
                </c:pt>
                <c:pt idx="9">
                  <c:v>Beban Cadangan Pensiun &amp; THR</c:v>
                </c:pt>
                <c:pt idx="10">
                  <c:v>Beban Penyusutan</c:v>
                </c:pt>
                <c:pt idx="11">
                  <c:v>Pengeluaran Hibah</c:v>
                </c:pt>
              </c:strCache>
            </c:strRef>
          </c:cat>
          <c:val>
            <c:numRef>
              <c:f>Summary!$Z$33:$Z$44</c:f>
              <c:numCache>
                <c:formatCode>#,##0.00;\(#,##0.00\)</c:formatCode>
                <c:ptCount val="12"/>
                <c:pt idx="0">
                  <c:v>0</c:v>
                </c:pt>
                <c:pt idx="1">
                  <c:v>1666.6666666666667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6BC-43C6-864A-158AAB356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694216"/>
        <c:axId val="438706760"/>
      </c:barChart>
      <c:catAx>
        <c:axId val="438694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lang="en-US" b="0">
                    <a:solidFill>
                      <a:srgbClr val="000000"/>
                    </a:solidFill>
                    <a:latin typeface="Roboto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lang="en-US" sz="1100" b="0">
                <a:solidFill>
                  <a:srgbClr val="434343"/>
                </a:solidFill>
                <a:latin typeface="Roboto"/>
              </a:defRPr>
            </a:pPr>
            <a:endParaRPr lang="en-US"/>
          </a:p>
        </c:txPr>
        <c:crossAx val="438706760"/>
        <c:crosses val="autoZero"/>
        <c:auto val="1"/>
        <c:lblAlgn val="ctr"/>
        <c:lblOffset val="100"/>
        <c:noMultiLvlLbl val="1"/>
      </c:catAx>
      <c:valAx>
        <c:axId val="43870676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lang="en-US" b="0">
                    <a:solidFill>
                      <a:srgbClr val="000000"/>
                    </a:solidFill>
                    <a:latin typeface="Roboto"/>
                  </a:defRPr>
                </a:pPr>
                <a:endParaRPr lang="en-ID"/>
              </a:p>
            </c:rich>
          </c:tx>
          <c:overlay val="0"/>
        </c:title>
        <c:numFmt formatCode="#,##0.00;\(#,##0.00\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lang="en-US" sz="1100" b="0">
                <a:solidFill>
                  <a:srgbClr val="434343"/>
                </a:solidFill>
                <a:latin typeface="Roboto"/>
              </a:defRPr>
            </a:pPr>
            <a:endParaRPr lang="en-US"/>
          </a:p>
        </c:txPr>
        <c:crossAx val="43869421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3</xdr:row>
      <xdr:rowOff>371475</xdr:rowOff>
    </xdr:from>
    <xdr:ext cx="17545050" cy="39528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381000</xdr:colOff>
      <xdr:row>44</xdr:row>
      <xdr:rowOff>114300</xdr:rowOff>
    </xdr:from>
    <xdr:ext cx="12620625" cy="489312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2"/>
  <sheetViews>
    <sheetView showGridLines="0" workbookViewId="0">
      <selection activeCell="C10" sqref="C10"/>
    </sheetView>
  </sheetViews>
  <sheetFormatPr defaultColWidth="14.42578125" defaultRowHeight="15.75" customHeight="1" x14ac:dyDescent="0.2"/>
  <cols>
    <col min="1" max="1" width="5.85546875" customWidth="1"/>
    <col min="2" max="2" width="16.7109375" customWidth="1"/>
    <col min="3" max="3" width="29.7109375" customWidth="1"/>
    <col min="4" max="5" width="9.28515625" customWidth="1"/>
    <col min="6" max="7" width="5.85546875" customWidth="1"/>
  </cols>
  <sheetData>
    <row r="1" spans="1:7" ht="72.75" customHeight="1" x14ac:dyDescent="0.35">
      <c r="A1" s="1"/>
      <c r="B1" s="280" t="s">
        <v>0</v>
      </c>
      <c r="C1" s="281"/>
      <c r="D1" s="2"/>
      <c r="E1" s="2"/>
      <c r="F1" s="2"/>
      <c r="G1" s="3"/>
    </row>
    <row r="2" spans="1:7" ht="7.5" customHeight="1" x14ac:dyDescent="0.2">
      <c r="A2" s="4"/>
      <c r="B2" s="5"/>
      <c r="C2" s="5"/>
      <c r="D2" s="6"/>
      <c r="E2" s="6"/>
      <c r="F2" s="6"/>
      <c r="G2" s="7"/>
    </row>
    <row r="3" spans="1:7" ht="40.5" customHeight="1" x14ac:dyDescent="0.2">
      <c r="A3" s="8"/>
      <c r="B3" s="282" t="s">
        <v>1</v>
      </c>
      <c r="C3" s="279"/>
      <c r="D3" s="279"/>
      <c r="E3" s="279"/>
      <c r="F3" s="279"/>
      <c r="G3" s="9"/>
    </row>
    <row r="4" spans="1:7" ht="60" customHeight="1" x14ac:dyDescent="0.2">
      <c r="A4" s="10"/>
      <c r="B4" s="11" t="s">
        <v>2</v>
      </c>
      <c r="C4" s="12"/>
      <c r="D4" s="13"/>
      <c r="E4" s="13"/>
      <c r="F4" s="13"/>
      <c r="G4" s="14"/>
    </row>
    <row r="5" spans="1:7" ht="22.5" customHeight="1" x14ac:dyDescent="0.2">
      <c r="A5" s="15" t="s">
        <v>3</v>
      </c>
      <c r="B5" s="283" t="s">
        <v>4</v>
      </c>
      <c r="C5" s="279"/>
      <c r="D5" s="279"/>
      <c r="E5" s="279"/>
      <c r="F5" s="279"/>
      <c r="G5" s="16"/>
    </row>
    <row r="6" spans="1:7" ht="22.5" customHeight="1" x14ac:dyDescent="0.2">
      <c r="A6" s="15" t="s">
        <v>5</v>
      </c>
      <c r="B6" s="283" t="s">
        <v>6</v>
      </c>
      <c r="C6" s="279"/>
      <c r="D6" s="279"/>
      <c r="E6" s="279"/>
      <c r="F6" s="279"/>
      <c r="G6" s="16"/>
    </row>
    <row r="7" spans="1:7" ht="22.5" customHeight="1" x14ac:dyDescent="0.2">
      <c r="A7" s="17" t="s">
        <v>7</v>
      </c>
      <c r="B7" s="284" t="s">
        <v>8</v>
      </c>
      <c r="C7" s="279"/>
      <c r="D7" s="279"/>
      <c r="E7" s="279"/>
      <c r="F7" s="279"/>
      <c r="G7" s="16"/>
    </row>
    <row r="8" spans="1:7" ht="26.25" customHeight="1" x14ac:dyDescent="0.2">
      <c r="A8" s="18"/>
      <c r="B8" s="19"/>
      <c r="C8" s="19"/>
      <c r="D8" s="20"/>
      <c r="E8" s="20"/>
      <c r="F8" s="20"/>
      <c r="G8" s="21"/>
    </row>
    <row r="9" spans="1:7" ht="16.5" customHeight="1" x14ac:dyDescent="0.2">
      <c r="A9" s="22"/>
      <c r="B9" s="23"/>
      <c r="C9" s="23"/>
      <c r="D9" s="24"/>
      <c r="E9" s="24"/>
      <c r="F9" s="24"/>
      <c r="G9" s="25"/>
    </row>
    <row r="10" spans="1:7" ht="32.25" customHeight="1" x14ac:dyDescent="0.2">
      <c r="A10" s="26"/>
      <c r="B10" s="27" t="s">
        <v>9</v>
      </c>
      <c r="C10" s="28"/>
      <c r="D10" s="28"/>
      <c r="E10" s="28"/>
      <c r="F10" s="28"/>
      <c r="G10" s="29"/>
    </row>
    <row r="11" spans="1:7" ht="34.5" customHeight="1" x14ac:dyDescent="0.2">
      <c r="A11" s="26"/>
      <c r="B11" s="30" t="s">
        <v>10</v>
      </c>
      <c r="C11" s="31">
        <v>0</v>
      </c>
      <c r="D11" s="278" t="s">
        <v>11</v>
      </c>
      <c r="E11" s="279"/>
      <c r="F11" s="279"/>
      <c r="G11" s="29"/>
    </row>
    <row r="12" spans="1:7" ht="38.25" customHeight="1" x14ac:dyDescent="0.2">
      <c r="A12" s="32"/>
      <c r="B12" s="29"/>
      <c r="C12" s="33"/>
      <c r="D12" s="34"/>
      <c r="E12" s="34"/>
      <c r="F12" s="34"/>
      <c r="G12" s="33"/>
    </row>
  </sheetData>
  <mergeCells count="6">
    <mergeCell ref="D11:F11"/>
    <mergeCell ref="B1:C1"/>
    <mergeCell ref="B3:F3"/>
    <mergeCell ref="B5:F5"/>
    <mergeCell ref="B6:F6"/>
    <mergeCell ref="B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35"/>
  <sheetViews>
    <sheetView zoomScale="90" zoomScaleNormal="90" zoomScaleSheetLayoutView="106" workbookViewId="0">
      <pane xSplit="5" ySplit="1" topLeftCell="F26" activePane="bottomRight" state="frozen"/>
      <selection pane="topRight" activeCell="F1" sqref="F1"/>
      <selection pane="bottomLeft" activeCell="A2" sqref="A2"/>
      <selection pane="bottomRight" activeCell="G9" sqref="G9"/>
    </sheetView>
  </sheetViews>
  <sheetFormatPr defaultColWidth="14.42578125" defaultRowHeight="15.75" customHeight="1" outlineLevelRow="1" x14ac:dyDescent="0.2"/>
  <cols>
    <col min="1" max="1" width="2.5703125" style="41" customWidth="1"/>
    <col min="2" max="2" width="16.7109375" style="247" customWidth="1"/>
    <col min="3" max="3" width="2.28515625" style="41" hidden="1" customWidth="1"/>
    <col min="4" max="4" width="2.28515625" style="41" customWidth="1"/>
    <col min="5" max="5" width="28" style="41" customWidth="1"/>
    <col min="6" max="6" width="17.28515625" style="41" customWidth="1"/>
    <col min="7" max="7" width="16.28515625" style="41" customWidth="1"/>
    <col min="8" max="8" width="18.28515625" style="41" customWidth="1"/>
    <col min="9" max="9" width="17.140625" style="41" customWidth="1"/>
    <col min="10" max="10" width="18.85546875" style="41" customWidth="1"/>
    <col min="11" max="11" width="20.42578125" style="41" customWidth="1"/>
    <col min="12" max="12" width="18.85546875" style="41" customWidth="1"/>
    <col min="13" max="13" width="23.42578125" style="41" customWidth="1"/>
    <col min="14" max="14" width="22.42578125" style="41" customWidth="1"/>
    <col min="15" max="16" width="16.42578125" style="41" customWidth="1"/>
    <col min="17" max="17" width="17.85546875" style="41" customWidth="1"/>
    <col min="18" max="18" width="20.7109375" style="41" customWidth="1"/>
    <col min="19" max="19" width="15.28515625" style="41" customWidth="1"/>
    <col min="20" max="16384" width="14.42578125" style="41"/>
  </cols>
  <sheetData>
    <row r="1" spans="1:21" s="259" customFormat="1" ht="38.25" customHeight="1" x14ac:dyDescent="0.2">
      <c r="A1" s="269"/>
      <c r="B1" s="268" t="s">
        <v>149</v>
      </c>
      <c r="C1" s="267"/>
      <c r="D1" s="267"/>
      <c r="E1" s="268" t="s">
        <v>12</v>
      </c>
      <c r="F1" s="274">
        <v>45839</v>
      </c>
      <c r="G1" s="274">
        <v>45870</v>
      </c>
      <c r="H1" s="274">
        <v>45901</v>
      </c>
      <c r="I1" s="274">
        <v>45931</v>
      </c>
      <c r="J1" s="274">
        <v>45962</v>
      </c>
      <c r="K1" s="275">
        <v>45992</v>
      </c>
      <c r="L1" s="274">
        <v>46023</v>
      </c>
      <c r="M1" s="274">
        <v>46054</v>
      </c>
      <c r="N1" s="274">
        <v>46082</v>
      </c>
      <c r="O1" s="274">
        <v>46113</v>
      </c>
      <c r="P1" s="274">
        <v>46143</v>
      </c>
      <c r="Q1" s="274">
        <v>46174</v>
      </c>
      <c r="R1" s="257" t="s">
        <v>13</v>
      </c>
      <c r="S1" s="258" t="s">
        <v>43</v>
      </c>
    </row>
    <row r="2" spans="1:21" s="111" customFormat="1" ht="38.25" customHeight="1" x14ac:dyDescent="0.2">
      <c r="A2" s="104"/>
      <c r="B2" s="262" t="s">
        <v>15</v>
      </c>
      <c r="C2" s="105"/>
      <c r="D2" s="106"/>
      <c r="E2" s="107" t="s">
        <v>16</v>
      </c>
      <c r="F2" s="108">
        <f t="shared" ref="F2:Q2" si="0">SUM(F3:F5)</f>
        <v>0</v>
      </c>
      <c r="G2" s="108">
        <f t="shared" si="0"/>
        <v>0</v>
      </c>
      <c r="H2" s="108">
        <f t="shared" si="0"/>
        <v>0</v>
      </c>
      <c r="I2" s="108">
        <f t="shared" si="0"/>
        <v>0</v>
      </c>
      <c r="J2" s="108">
        <f t="shared" si="0"/>
        <v>0</v>
      </c>
      <c r="K2" s="108">
        <f t="shared" si="0"/>
        <v>0</v>
      </c>
      <c r="L2" s="108">
        <f t="shared" si="0"/>
        <v>0</v>
      </c>
      <c r="M2" s="108">
        <f t="shared" si="0"/>
        <v>0</v>
      </c>
      <c r="N2" s="108">
        <f>SUM(N3:N5)</f>
        <v>0</v>
      </c>
      <c r="O2" s="108">
        <f t="shared" si="0"/>
        <v>0</v>
      </c>
      <c r="P2" s="108">
        <f>SUM(P3:P5)</f>
        <v>0</v>
      </c>
      <c r="Q2" s="108">
        <f t="shared" si="0"/>
        <v>0</v>
      </c>
      <c r="R2" s="109">
        <f>SUM(F2:Q2)</f>
        <v>0</v>
      </c>
      <c r="S2" s="110">
        <f>IFERROR(AVERAGE(F2:Q2), "0")</f>
        <v>0</v>
      </c>
    </row>
    <row r="3" spans="1:21" ht="19.5" customHeight="1" outlineLevel="1" x14ac:dyDescent="0.2">
      <c r="A3" s="112"/>
      <c r="B3" s="263"/>
      <c r="C3" s="66"/>
      <c r="D3" s="113"/>
      <c r="E3" s="114" t="s">
        <v>17</v>
      </c>
      <c r="F3" s="115">
        <v>0</v>
      </c>
      <c r="G3" s="115">
        <v>0</v>
      </c>
      <c r="H3" s="115">
        <v>0</v>
      </c>
      <c r="I3" s="115">
        <v>0</v>
      </c>
      <c r="J3" s="115">
        <v>0</v>
      </c>
      <c r="K3" s="115">
        <v>0</v>
      </c>
      <c r="L3" s="115">
        <v>0</v>
      </c>
      <c r="M3" s="115">
        <v>0</v>
      </c>
      <c r="N3" s="115">
        <v>0</v>
      </c>
      <c r="O3" s="115">
        <v>0</v>
      </c>
      <c r="P3" s="115">
        <v>0</v>
      </c>
      <c r="Q3" s="115">
        <v>0</v>
      </c>
      <c r="R3" s="109">
        <f t="shared" ref="R3:R5" si="1">SUM(F3:Q3)</f>
        <v>0</v>
      </c>
      <c r="S3" s="110">
        <f>IFERROR(AVERAGE(F3:Q3), "0")</f>
        <v>0</v>
      </c>
      <c r="T3" s="110"/>
      <c r="U3" s="241"/>
    </row>
    <row r="4" spans="1:21" ht="19.5" customHeight="1" outlineLevel="1" x14ac:dyDescent="0.2">
      <c r="A4" s="112"/>
      <c r="B4" s="263"/>
      <c r="C4" s="66"/>
      <c r="D4" s="117"/>
      <c r="E4" s="118" t="s">
        <v>18</v>
      </c>
      <c r="F4" s="116">
        <v>0</v>
      </c>
      <c r="G4" s="116">
        <v>0</v>
      </c>
      <c r="H4" s="116">
        <v>0</v>
      </c>
      <c r="I4" s="116">
        <v>0</v>
      </c>
      <c r="J4" s="116">
        <v>0</v>
      </c>
      <c r="K4" s="116">
        <v>0</v>
      </c>
      <c r="L4" s="116">
        <v>0</v>
      </c>
      <c r="M4" s="116">
        <v>0</v>
      </c>
      <c r="N4" s="116">
        <v>0</v>
      </c>
      <c r="O4" s="116">
        <v>0</v>
      </c>
      <c r="P4" s="116">
        <v>0</v>
      </c>
      <c r="Q4" s="116">
        <v>0</v>
      </c>
      <c r="R4" s="109">
        <f t="shared" si="1"/>
        <v>0</v>
      </c>
      <c r="S4" s="110">
        <f>IFERROR(AVERAGE(F4:Q4), "0")</f>
        <v>0</v>
      </c>
    </row>
    <row r="5" spans="1:21" ht="34.5" customHeight="1" outlineLevel="1" x14ac:dyDescent="0.2">
      <c r="A5" s="112"/>
      <c r="B5" s="263"/>
      <c r="C5" s="66"/>
      <c r="D5" s="119"/>
      <c r="E5" s="120" t="s">
        <v>19</v>
      </c>
      <c r="F5" s="121">
        <v>0</v>
      </c>
      <c r="G5" s="121">
        <v>0</v>
      </c>
      <c r="H5" s="121">
        <v>0</v>
      </c>
      <c r="I5" s="121">
        <v>0</v>
      </c>
      <c r="J5" s="121">
        <v>0</v>
      </c>
      <c r="K5" s="121">
        <v>0</v>
      </c>
      <c r="L5" s="121">
        <v>0</v>
      </c>
      <c r="M5" s="121">
        <v>0</v>
      </c>
      <c r="N5" s="121">
        <v>0</v>
      </c>
      <c r="O5" s="121">
        <v>0</v>
      </c>
      <c r="P5" s="121">
        <v>0</v>
      </c>
      <c r="Q5" s="121">
        <v>0</v>
      </c>
      <c r="R5" s="109">
        <f t="shared" si="1"/>
        <v>0</v>
      </c>
      <c r="S5" s="110">
        <f>IFERROR(AVERAGE(F5:Q5), "0")</f>
        <v>0</v>
      </c>
    </row>
    <row r="6" spans="1:21" ht="19.5" customHeight="1" x14ac:dyDescent="0.2">
      <c r="A6" s="112"/>
      <c r="B6" s="263"/>
      <c r="C6" s="66"/>
      <c r="D6" s="122"/>
      <c r="E6" s="123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09"/>
      <c r="S6" s="125"/>
    </row>
    <row r="7" spans="1:21" ht="19.5" customHeight="1" x14ac:dyDescent="0.2">
      <c r="A7" s="112"/>
      <c r="B7" s="263"/>
      <c r="C7" s="66"/>
      <c r="D7" s="126"/>
      <c r="E7" s="127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09"/>
      <c r="S7" s="129"/>
    </row>
    <row r="8" spans="1:21" s="111" customFormat="1" ht="38.25" customHeight="1" x14ac:dyDescent="0.2">
      <c r="A8" s="130"/>
      <c r="B8" s="264" t="s">
        <v>20</v>
      </c>
      <c r="C8" s="131"/>
      <c r="D8" s="132"/>
      <c r="E8" s="133" t="s">
        <v>16</v>
      </c>
      <c r="F8" s="134">
        <f>SUM(F9:F29)</f>
        <v>0</v>
      </c>
      <c r="G8" s="134">
        <f t="shared" ref="G8:O8" si="2">SUM(G9:G29)</f>
        <v>0</v>
      </c>
      <c r="H8" s="134">
        <f t="shared" si="2"/>
        <v>0</v>
      </c>
      <c r="I8" s="134">
        <f t="shared" si="2"/>
        <v>0</v>
      </c>
      <c r="J8" s="134">
        <f t="shared" si="2"/>
        <v>0</v>
      </c>
      <c r="K8" s="134">
        <f t="shared" si="2"/>
        <v>0</v>
      </c>
      <c r="L8" s="134">
        <f t="shared" si="2"/>
        <v>0</v>
      </c>
      <c r="M8" s="134">
        <f t="shared" si="2"/>
        <v>0</v>
      </c>
      <c r="N8" s="134">
        <f>SUM(N9:N29)</f>
        <v>0</v>
      </c>
      <c r="O8" s="134">
        <f t="shared" si="2"/>
        <v>0</v>
      </c>
      <c r="P8" s="134">
        <f>SUM(P9:P29)</f>
        <v>0</v>
      </c>
      <c r="Q8" s="134">
        <f>SUM(Q9:Q29)</f>
        <v>0</v>
      </c>
      <c r="R8" s="109">
        <f>SUM(F8:Q8)</f>
        <v>0</v>
      </c>
      <c r="S8" s="110">
        <f>IFERROR(AVERAGE(F8:Q8), "0")</f>
        <v>0</v>
      </c>
    </row>
    <row r="9" spans="1:21" ht="19.5" customHeight="1" outlineLevel="1" x14ac:dyDescent="0.2">
      <c r="A9" s="112"/>
      <c r="B9" s="263"/>
      <c r="C9" s="66"/>
      <c r="D9" s="119"/>
      <c r="E9" s="120" t="s">
        <v>21</v>
      </c>
      <c r="F9" s="135">
        <v>0</v>
      </c>
      <c r="G9" s="135">
        <v>0</v>
      </c>
      <c r="H9" s="135">
        <v>0</v>
      </c>
      <c r="I9" s="135">
        <v>0</v>
      </c>
      <c r="J9" s="135">
        <v>0</v>
      </c>
      <c r="K9" s="135">
        <v>0</v>
      </c>
      <c r="L9" s="135">
        <v>0</v>
      </c>
      <c r="M9" s="135">
        <v>0</v>
      </c>
      <c r="N9" s="135">
        <v>0</v>
      </c>
      <c r="O9" s="135">
        <v>0</v>
      </c>
      <c r="P9" s="135">
        <v>0</v>
      </c>
      <c r="Q9" s="135">
        <v>0</v>
      </c>
      <c r="R9" s="109">
        <f t="shared" ref="R9:R29" si="3">SUM(F9:Q9)</f>
        <v>0</v>
      </c>
      <c r="S9" s="110">
        <f t="shared" ref="S9:S28" si="4">IFERROR(AVERAGE(F9:Q9), "0")</f>
        <v>0</v>
      </c>
    </row>
    <row r="10" spans="1:21" ht="19.5" customHeight="1" outlineLevel="1" x14ac:dyDescent="0.2">
      <c r="A10" s="112"/>
      <c r="B10" s="263"/>
      <c r="C10" s="66"/>
      <c r="D10" s="119"/>
      <c r="E10" s="120" t="s">
        <v>22</v>
      </c>
      <c r="F10" s="135">
        <v>0</v>
      </c>
      <c r="G10" s="135">
        <v>0</v>
      </c>
      <c r="H10" s="135">
        <v>0</v>
      </c>
      <c r="I10" s="135">
        <v>0</v>
      </c>
      <c r="J10" s="135">
        <v>0</v>
      </c>
      <c r="K10" s="135">
        <v>0</v>
      </c>
      <c r="L10" s="135">
        <v>0</v>
      </c>
      <c r="M10" s="135">
        <v>0</v>
      </c>
      <c r="N10" s="135">
        <v>0</v>
      </c>
      <c r="O10" s="135">
        <v>0</v>
      </c>
      <c r="P10" s="135">
        <v>0</v>
      </c>
      <c r="Q10" s="135">
        <v>0</v>
      </c>
      <c r="R10" s="109">
        <f t="shared" si="3"/>
        <v>0</v>
      </c>
      <c r="S10" s="110">
        <f t="shared" si="4"/>
        <v>0</v>
      </c>
    </row>
    <row r="11" spans="1:21" ht="19.5" customHeight="1" outlineLevel="1" x14ac:dyDescent="0.2">
      <c r="A11" s="112"/>
      <c r="B11" s="263"/>
      <c r="C11" s="66"/>
      <c r="D11" s="119"/>
      <c r="E11" s="120" t="s">
        <v>23</v>
      </c>
      <c r="F11" s="135">
        <v>0</v>
      </c>
      <c r="G11" s="135">
        <v>0</v>
      </c>
      <c r="H11" s="135">
        <v>0</v>
      </c>
      <c r="I11" s="135">
        <v>0</v>
      </c>
      <c r="J11" s="135">
        <v>0</v>
      </c>
      <c r="K11" s="135">
        <v>0</v>
      </c>
      <c r="L11" s="135">
        <v>0</v>
      </c>
      <c r="M11" s="135">
        <v>0</v>
      </c>
      <c r="N11" s="135">
        <v>0</v>
      </c>
      <c r="O11" s="135">
        <v>0</v>
      </c>
      <c r="P11" s="135">
        <v>0</v>
      </c>
      <c r="Q11" s="135">
        <v>0</v>
      </c>
      <c r="R11" s="109">
        <f t="shared" si="3"/>
        <v>0</v>
      </c>
      <c r="S11" s="110">
        <f t="shared" si="4"/>
        <v>0</v>
      </c>
    </row>
    <row r="12" spans="1:21" ht="19.5" customHeight="1" outlineLevel="1" x14ac:dyDescent="0.2">
      <c r="A12" s="112"/>
      <c r="B12" s="263"/>
      <c r="C12" s="66"/>
      <c r="D12" s="119"/>
      <c r="E12" s="120" t="s">
        <v>24</v>
      </c>
      <c r="F12" s="135">
        <v>0</v>
      </c>
      <c r="G12" s="135">
        <v>0</v>
      </c>
      <c r="H12" s="135">
        <v>0</v>
      </c>
      <c r="I12" s="135">
        <v>0</v>
      </c>
      <c r="J12" s="135">
        <v>0</v>
      </c>
      <c r="K12" s="135">
        <v>0</v>
      </c>
      <c r="L12" s="135">
        <v>0</v>
      </c>
      <c r="M12" s="135">
        <v>0</v>
      </c>
      <c r="N12" s="135">
        <v>0</v>
      </c>
      <c r="O12" s="135">
        <v>0</v>
      </c>
      <c r="P12" s="135">
        <v>0</v>
      </c>
      <c r="Q12" s="135">
        <v>0</v>
      </c>
      <c r="R12" s="109">
        <f t="shared" si="3"/>
        <v>0</v>
      </c>
      <c r="S12" s="110">
        <f t="shared" si="4"/>
        <v>0</v>
      </c>
    </row>
    <row r="13" spans="1:21" ht="19.5" customHeight="1" outlineLevel="1" x14ac:dyDescent="0.2">
      <c r="A13" s="112"/>
      <c r="B13" s="263"/>
      <c r="C13" s="66"/>
      <c r="D13" s="119"/>
      <c r="E13" s="120" t="s">
        <v>25</v>
      </c>
      <c r="F13" s="135">
        <v>0</v>
      </c>
      <c r="G13" s="135">
        <v>0</v>
      </c>
      <c r="H13" s="135">
        <v>0</v>
      </c>
      <c r="I13" s="135">
        <v>0</v>
      </c>
      <c r="J13" s="135">
        <v>0</v>
      </c>
      <c r="K13" s="135">
        <v>0</v>
      </c>
      <c r="L13" s="135">
        <v>0</v>
      </c>
      <c r="M13" s="135">
        <v>0</v>
      </c>
      <c r="N13" s="135">
        <v>0</v>
      </c>
      <c r="O13" s="135">
        <v>0</v>
      </c>
      <c r="P13" s="135">
        <v>0</v>
      </c>
      <c r="Q13" s="135">
        <v>0</v>
      </c>
      <c r="R13" s="109">
        <f t="shared" si="3"/>
        <v>0</v>
      </c>
      <c r="S13" s="110">
        <f t="shared" si="4"/>
        <v>0</v>
      </c>
    </row>
    <row r="14" spans="1:21" ht="19.5" customHeight="1" outlineLevel="1" x14ac:dyDescent="0.2">
      <c r="A14" s="112"/>
      <c r="B14" s="263"/>
      <c r="C14" s="66"/>
      <c r="D14" s="119"/>
      <c r="E14" s="120" t="s">
        <v>26</v>
      </c>
      <c r="F14" s="135">
        <v>0</v>
      </c>
      <c r="G14" s="135">
        <v>0</v>
      </c>
      <c r="H14" s="135">
        <v>0</v>
      </c>
      <c r="I14" s="135">
        <v>0</v>
      </c>
      <c r="J14" s="135">
        <v>0</v>
      </c>
      <c r="K14" s="135">
        <v>0</v>
      </c>
      <c r="L14" s="135">
        <v>0</v>
      </c>
      <c r="M14" s="135">
        <v>0</v>
      </c>
      <c r="N14" s="135">
        <v>0</v>
      </c>
      <c r="O14" s="135">
        <v>0</v>
      </c>
      <c r="P14" s="135">
        <v>0</v>
      </c>
      <c r="Q14" s="135">
        <v>0</v>
      </c>
      <c r="R14" s="109">
        <f t="shared" si="3"/>
        <v>0</v>
      </c>
      <c r="S14" s="110">
        <f t="shared" si="4"/>
        <v>0</v>
      </c>
    </row>
    <row r="15" spans="1:21" ht="19.5" customHeight="1" outlineLevel="1" x14ac:dyDescent="0.2">
      <c r="A15" s="112"/>
      <c r="B15" s="263"/>
      <c r="C15" s="66"/>
      <c r="D15" s="119"/>
      <c r="E15" s="120" t="s">
        <v>27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09">
        <f t="shared" si="3"/>
        <v>0</v>
      </c>
      <c r="S15" s="110">
        <f t="shared" si="4"/>
        <v>0</v>
      </c>
    </row>
    <row r="16" spans="1:21" ht="19.5" customHeight="1" outlineLevel="1" x14ac:dyDescent="0.2">
      <c r="A16" s="112"/>
      <c r="B16" s="263"/>
      <c r="C16" s="66"/>
      <c r="D16" s="119"/>
      <c r="E16" s="120" t="s">
        <v>28</v>
      </c>
      <c r="F16" s="135">
        <v>0</v>
      </c>
      <c r="G16" s="135">
        <v>0</v>
      </c>
      <c r="H16" s="135">
        <v>0</v>
      </c>
      <c r="I16" s="135">
        <v>0</v>
      </c>
      <c r="J16" s="135">
        <v>0</v>
      </c>
      <c r="K16" s="135">
        <v>0</v>
      </c>
      <c r="L16" s="135">
        <v>0</v>
      </c>
      <c r="M16" s="135">
        <v>0</v>
      </c>
      <c r="N16" s="135">
        <v>0</v>
      </c>
      <c r="O16" s="135">
        <v>0</v>
      </c>
      <c r="P16" s="135">
        <v>0</v>
      </c>
      <c r="Q16" s="135">
        <v>0</v>
      </c>
      <c r="R16" s="109">
        <f t="shared" si="3"/>
        <v>0</v>
      </c>
      <c r="S16" s="110">
        <f t="shared" si="4"/>
        <v>0</v>
      </c>
    </row>
    <row r="17" spans="1:19" ht="19.5" customHeight="1" outlineLevel="1" x14ac:dyDescent="0.2">
      <c r="A17" s="112"/>
      <c r="B17" s="263"/>
      <c r="C17" s="66"/>
      <c r="D17" s="119"/>
      <c r="E17" s="120" t="s">
        <v>29</v>
      </c>
      <c r="F17" s="135">
        <v>0</v>
      </c>
      <c r="G17" s="135">
        <v>0</v>
      </c>
      <c r="H17" s="135">
        <v>0</v>
      </c>
      <c r="I17" s="135">
        <v>0</v>
      </c>
      <c r="J17" s="135">
        <v>0</v>
      </c>
      <c r="K17" s="135">
        <v>0</v>
      </c>
      <c r="L17" s="135">
        <v>0</v>
      </c>
      <c r="M17" s="135">
        <v>0</v>
      </c>
      <c r="N17" s="135">
        <v>0</v>
      </c>
      <c r="O17" s="135">
        <v>0</v>
      </c>
      <c r="P17" s="135">
        <v>0</v>
      </c>
      <c r="Q17" s="135">
        <v>0</v>
      </c>
      <c r="R17" s="109">
        <f t="shared" si="3"/>
        <v>0</v>
      </c>
      <c r="S17" s="110">
        <f t="shared" si="4"/>
        <v>0</v>
      </c>
    </row>
    <row r="18" spans="1:19" ht="19.5" customHeight="1" outlineLevel="1" x14ac:dyDescent="0.2">
      <c r="A18" s="112"/>
      <c r="B18" s="263"/>
      <c r="C18" s="66"/>
      <c r="D18" s="119"/>
      <c r="E18" s="120" t="s">
        <v>30</v>
      </c>
      <c r="F18" s="135">
        <v>0</v>
      </c>
      <c r="G18" s="135">
        <v>0</v>
      </c>
      <c r="H18" s="135">
        <v>0</v>
      </c>
      <c r="I18" s="135">
        <v>0</v>
      </c>
      <c r="J18" s="135">
        <v>0</v>
      </c>
      <c r="K18" s="135">
        <v>0</v>
      </c>
      <c r="L18" s="135">
        <v>0</v>
      </c>
      <c r="M18" s="135">
        <v>0</v>
      </c>
      <c r="N18" s="135">
        <v>0</v>
      </c>
      <c r="O18" s="135">
        <v>0</v>
      </c>
      <c r="P18" s="135">
        <v>0</v>
      </c>
      <c r="Q18" s="135">
        <v>0</v>
      </c>
      <c r="R18" s="109">
        <f t="shared" si="3"/>
        <v>0</v>
      </c>
      <c r="S18" s="110">
        <f t="shared" si="4"/>
        <v>0</v>
      </c>
    </row>
    <row r="19" spans="1:19" ht="19.5" customHeight="1" outlineLevel="1" x14ac:dyDescent="0.2">
      <c r="A19" s="112"/>
      <c r="B19" s="263"/>
      <c r="C19" s="66"/>
      <c r="D19" s="119"/>
      <c r="E19" s="120" t="s">
        <v>31</v>
      </c>
      <c r="F19" s="135">
        <v>0</v>
      </c>
      <c r="G19" s="135">
        <v>0</v>
      </c>
      <c r="H19" s="135">
        <v>0</v>
      </c>
      <c r="I19" s="135">
        <v>0</v>
      </c>
      <c r="J19" s="135">
        <v>0</v>
      </c>
      <c r="K19" s="135">
        <v>0</v>
      </c>
      <c r="L19" s="135">
        <v>0</v>
      </c>
      <c r="M19" s="135">
        <v>0</v>
      </c>
      <c r="N19" s="135">
        <v>0</v>
      </c>
      <c r="O19" s="135">
        <v>0</v>
      </c>
      <c r="P19" s="135">
        <v>0</v>
      </c>
      <c r="Q19" s="135">
        <v>0</v>
      </c>
      <c r="R19" s="109">
        <f t="shared" si="3"/>
        <v>0</v>
      </c>
      <c r="S19" s="110">
        <f t="shared" si="4"/>
        <v>0</v>
      </c>
    </row>
    <row r="20" spans="1:19" ht="19.5" customHeight="1" outlineLevel="1" x14ac:dyDescent="0.2">
      <c r="A20" s="112"/>
      <c r="B20" s="263"/>
      <c r="C20" s="66"/>
      <c r="D20" s="119"/>
      <c r="E20" s="120" t="s">
        <v>32</v>
      </c>
      <c r="F20" s="135">
        <v>0</v>
      </c>
      <c r="G20" s="135">
        <v>0</v>
      </c>
      <c r="H20" s="135">
        <v>0</v>
      </c>
      <c r="I20" s="135">
        <v>0</v>
      </c>
      <c r="J20" s="135">
        <v>0</v>
      </c>
      <c r="K20" s="135">
        <v>0</v>
      </c>
      <c r="L20" s="135">
        <v>0</v>
      </c>
      <c r="M20" s="135">
        <v>0</v>
      </c>
      <c r="N20" s="135">
        <v>0</v>
      </c>
      <c r="O20" s="135">
        <v>0</v>
      </c>
      <c r="P20" s="135">
        <v>0</v>
      </c>
      <c r="Q20" s="135">
        <v>0</v>
      </c>
      <c r="R20" s="109">
        <f t="shared" si="3"/>
        <v>0</v>
      </c>
      <c r="S20" s="110">
        <f t="shared" si="4"/>
        <v>0</v>
      </c>
    </row>
    <row r="21" spans="1:19" ht="19.5" customHeight="1" outlineLevel="1" x14ac:dyDescent="0.2">
      <c r="A21" s="112"/>
      <c r="B21" s="263"/>
      <c r="C21" s="66"/>
      <c r="D21" s="119"/>
      <c r="E21" s="120" t="s">
        <v>33</v>
      </c>
      <c r="F21" s="135">
        <v>0</v>
      </c>
      <c r="G21" s="135">
        <v>0</v>
      </c>
      <c r="H21" s="135">
        <v>0</v>
      </c>
      <c r="I21" s="135">
        <v>0</v>
      </c>
      <c r="J21" s="135">
        <v>0</v>
      </c>
      <c r="K21" s="135">
        <v>0</v>
      </c>
      <c r="L21" s="135">
        <v>0</v>
      </c>
      <c r="M21" s="135">
        <v>0</v>
      </c>
      <c r="N21" s="135">
        <v>0</v>
      </c>
      <c r="O21" s="135">
        <v>0</v>
      </c>
      <c r="P21" s="135">
        <v>0</v>
      </c>
      <c r="Q21" s="135">
        <v>0</v>
      </c>
      <c r="R21" s="109">
        <f t="shared" si="3"/>
        <v>0</v>
      </c>
      <c r="S21" s="110">
        <f t="shared" si="4"/>
        <v>0</v>
      </c>
    </row>
    <row r="22" spans="1:19" ht="19.5" customHeight="1" outlineLevel="1" x14ac:dyDescent="0.2">
      <c r="A22" s="112"/>
      <c r="B22" s="263"/>
      <c r="C22" s="66"/>
      <c r="D22" s="119"/>
      <c r="E22" s="120" t="s">
        <v>34</v>
      </c>
      <c r="F22" s="135">
        <v>0</v>
      </c>
      <c r="G22" s="135">
        <v>0</v>
      </c>
      <c r="H22" s="135">
        <v>0</v>
      </c>
      <c r="I22" s="135">
        <v>0</v>
      </c>
      <c r="J22" s="135">
        <v>0</v>
      </c>
      <c r="K22" s="135">
        <v>0</v>
      </c>
      <c r="L22" s="135">
        <v>0</v>
      </c>
      <c r="M22" s="135">
        <v>0</v>
      </c>
      <c r="N22" s="135">
        <v>0</v>
      </c>
      <c r="O22" s="135">
        <v>0</v>
      </c>
      <c r="P22" s="135">
        <v>0</v>
      </c>
      <c r="Q22" s="135">
        <v>0</v>
      </c>
      <c r="R22" s="109">
        <f t="shared" si="3"/>
        <v>0</v>
      </c>
      <c r="S22" s="110">
        <f t="shared" si="4"/>
        <v>0</v>
      </c>
    </row>
    <row r="23" spans="1:19" ht="19.5" customHeight="1" outlineLevel="1" x14ac:dyDescent="0.2">
      <c r="A23" s="112"/>
      <c r="B23" s="263"/>
      <c r="C23" s="66"/>
      <c r="D23" s="119"/>
      <c r="E23" s="120" t="s">
        <v>35</v>
      </c>
      <c r="F23" s="135">
        <v>0</v>
      </c>
      <c r="G23" s="135">
        <v>0</v>
      </c>
      <c r="H23" s="135">
        <v>0</v>
      </c>
      <c r="I23" s="135">
        <v>0</v>
      </c>
      <c r="J23" s="135">
        <v>0</v>
      </c>
      <c r="K23" s="135">
        <v>0</v>
      </c>
      <c r="L23" s="135">
        <v>0</v>
      </c>
      <c r="M23" s="135">
        <v>0</v>
      </c>
      <c r="N23" s="135">
        <v>0</v>
      </c>
      <c r="O23" s="135">
        <v>0</v>
      </c>
      <c r="P23" s="135">
        <v>0</v>
      </c>
      <c r="Q23" s="135">
        <v>0</v>
      </c>
      <c r="R23" s="109">
        <f t="shared" si="3"/>
        <v>0</v>
      </c>
      <c r="S23" s="110">
        <f t="shared" si="4"/>
        <v>0</v>
      </c>
    </row>
    <row r="24" spans="1:19" ht="19.5" customHeight="1" outlineLevel="1" x14ac:dyDescent="0.2">
      <c r="A24" s="112"/>
      <c r="B24" s="263"/>
      <c r="C24" s="66"/>
      <c r="D24" s="119"/>
      <c r="E24" s="120" t="s">
        <v>36</v>
      </c>
      <c r="F24" s="135">
        <v>0</v>
      </c>
      <c r="G24" s="135">
        <v>0</v>
      </c>
      <c r="H24" s="135">
        <v>0</v>
      </c>
      <c r="I24" s="135">
        <v>0</v>
      </c>
      <c r="J24" s="135">
        <v>0</v>
      </c>
      <c r="K24" s="135">
        <v>0</v>
      </c>
      <c r="L24" s="135">
        <v>0</v>
      </c>
      <c r="M24" s="135">
        <v>0</v>
      </c>
      <c r="N24" s="135">
        <v>0</v>
      </c>
      <c r="O24" s="135">
        <v>0</v>
      </c>
      <c r="P24" s="135">
        <v>0</v>
      </c>
      <c r="Q24" s="135">
        <v>0</v>
      </c>
      <c r="R24" s="109">
        <f t="shared" si="3"/>
        <v>0</v>
      </c>
      <c r="S24" s="110">
        <f t="shared" si="4"/>
        <v>0</v>
      </c>
    </row>
    <row r="25" spans="1:19" ht="19.5" customHeight="1" outlineLevel="1" x14ac:dyDescent="0.2">
      <c r="A25" s="112"/>
      <c r="B25" s="263"/>
      <c r="C25" s="66"/>
      <c r="D25" s="119"/>
      <c r="E25" s="120" t="s">
        <v>37</v>
      </c>
      <c r="F25" s="135">
        <v>0</v>
      </c>
      <c r="G25" s="135">
        <v>0</v>
      </c>
      <c r="H25" s="135">
        <v>0</v>
      </c>
      <c r="I25" s="135">
        <v>0</v>
      </c>
      <c r="J25" s="135">
        <v>0</v>
      </c>
      <c r="K25" s="135">
        <v>0</v>
      </c>
      <c r="L25" s="135">
        <v>0</v>
      </c>
      <c r="M25" s="135">
        <v>0</v>
      </c>
      <c r="N25" s="135">
        <v>0</v>
      </c>
      <c r="O25" s="135">
        <v>0</v>
      </c>
      <c r="P25" s="135">
        <v>0</v>
      </c>
      <c r="Q25" s="135">
        <v>0</v>
      </c>
      <c r="R25" s="109">
        <f t="shared" si="3"/>
        <v>0</v>
      </c>
      <c r="S25" s="110">
        <f t="shared" si="4"/>
        <v>0</v>
      </c>
    </row>
    <row r="26" spans="1:19" ht="19.5" customHeight="1" outlineLevel="1" x14ac:dyDescent="0.2">
      <c r="A26" s="112"/>
      <c r="B26" s="263"/>
      <c r="C26" s="66"/>
      <c r="D26" s="119"/>
      <c r="E26" s="120" t="s">
        <v>38</v>
      </c>
      <c r="F26" s="135">
        <v>0</v>
      </c>
      <c r="G26" s="135">
        <v>0</v>
      </c>
      <c r="H26" s="135">
        <v>0</v>
      </c>
      <c r="I26" s="135">
        <v>0</v>
      </c>
      <c r="J26" s="135">
        <v>0</v>
      </c>
      <c r="K26" s="135">
        <v>0</v>
      </c>
      <c r="L26" s="135">
        <v>0</v>
      </c>
      <c r="M26" s="135">
        <v>0</v>
      </c>
      <c r="N26" s="135">
        <v>0</v>
      </c>
      <c r="O26" s="135">
        <v>0</v>
      </c>
      <c r="P26" s="135">
        <v>0</v>
      </c>
      <c r="Q26" s="135">
        <v>0</v>
      </c>
      <c r="R26" s="109">
        <f t="shared" si="3"/>
        <v>0</v>
      </c>
      <c r="S26" s="110">
        <f t="shared" si="4"/>
        <v>0</v>
      </c>
    </row>
    <row r="27" spans="1:19" ht="19.5" customHeight="1" outlineLevel="1" x14ac:dyDescent="0.2">
      <c r="A27" s="112"/>
      <c r="B27" s="263"/>
      <c r="C27" s="66"/>
      <c r="D27" s="119"/>
      <c r="E27" s="120" t="s">
        <v>39</v>
      </c>
      <c r="F27" s="135">
        <v>0</v>
      </c>
      <c r="G27" s="135">
        <v>0</v>
      </c>
      <c r="H27" s="135">
        <v>0</v>
      </c>
      <c r="I27" s="135">
        <v>0</v>
      </c>
      <c r="J27" s="135">
        <v>0</v>
      </c>
      <c r="K27" s="135">
        <v>0</v>
      </c>
      <c r="L27" s="135">
        <v>0</v>
      </c>
      <c r="M27" s="135">
        <v>0</v>
      </c>
      <c r="N27" s="135">
        <v>0</v>
      </c>
      <c r="O27" s="135">
        <v>0</v>
      </c>
      <c r="P27" s="135">
        <v>0</v>
      </c>
      <c r="Q27" s="135">
        <v>0</v>
      </c>
      <c r="R27" s="109">
        <f t="shared" si="3"/>
        <v>0</v>
      </c>
      <c r="S27" s="110">
        <f t="shared" si="4"/>
        <v>0</v>
      </c>
    </row>
    <row r="28" spans="1:19" ht="19.5" customHeight="1" outlineLevel="1" x14ac:dyDescent="0.2">
      <c r="A28" s="112"/>
      <c r="B28" s="263"/>
      <c r="C28" s="66"/>
      <c r="D28" s="119"/>
      <c r="E28" s="120" t="s">
        <v>40</v>
      </c>
      <c r="F28" s="135">
        <v>0</v>
      </c>
      <c r="G28" s="135">
        <v>0</v>
      </c>
      <c r="H28" s="135">
        <v>0</v>
      </c>
      <c r="I28" s="135">
        <v>0</v>
      </c>
      <c r="J28" s="135">
        <v>0</v>
      </c>
      <c r="K28" s="135">
        <v>0</v>
      </c>
      <c r="L28" s="135">
        <v>0</v>
      </c>
      <c r="M28" s="135">
        <v>0</v>
      </c>
      <c r="N28" s="135">
        <v>0</v>
      </c>
      <c r="O28" s="135">
        <v>0</v>
      </c>
      <c r="P28" s="135">
        <v>0</v>
      </c>
      <c r="Q28" s="135">
        <v>0</v>
      </c>
      <c r="R28" s="109">
        <f t="shared" si="3"/>
        <v>0</v>
      </c>
      <c r="S28" s="110">
        <f t="shared" si="4"/>
        <v>0</v>
      </c>
    </row>
    <row r="29" spans="1:19" ht="19.5" customHeight="1" outlineLevel="1" x14ac:dyDescent="0.2">
      <c r="A29" s="112"/>
      <c r="B29" s="263"/>
      <c r="C29" s="66"/>
      <c r="D29" s="119"/>
      <c r="E29" s="120" t="s">
        <v>41</v>
      </c>
      <c r="F29" s="135">
        <v>0</v>
      </c>
      <c r="G29" s="135">
        <v>0</v>
      </c>
      <c r="H29" s="135">
        <v>0</v>
      </c>
      <c r="I29" s="135">
        <v>0</v>
      </c>
      <c r="J29" s="135">
        <v>0</v>
      </c>
      <c r="K29" s="135">
        <v>0</v>
      </c>
      <c r="L29" s="135">
        <v>0</v>
      </c>
      <c r="M29" s="135">
        <v>0</v>
      </c>
      <c r="N29" s="135">
        <v>0</v>
      </c>
      <c r="O29" s="135">
        <v>0</v>
      </c>
      <c r="P29" s="135">
        <v>0</v>
      </c>
      <c r="Q29" s="135">
        <v>0</v>
      </c>
      <c r="R29" s="109">
        <f t="shared" si="3"/>
        <v>0</v>
      </c>
      <c r="S29" s="110">
        <f>IFERROR(AVERAGE(F29:Q29), "0")</f>
        <v>0</v>
      </c>
    </row>
    <row r="30" spans="1:19" s="143" customFormat="1" ht="19.5" customHeight="1" x14ac:dyDescent="0.2">
      <c r="A30" s="136"/>
      <c r="B30" s="265"/>
      <c r="C30" s="137"/>
      <c r="D30" s="138"/>
      <c r="E30" s="139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1"/>
      <c r="S30" s="142"/>
    </row>
    <row r="31" spans="1:19" ht="15.75" customHeight="1" x14ac:dyDescent="0.2">
      <c r="R31" s="144"/>
    </row>
    <row r="32" spans="1:19" ht="15.75" customHeight="1" x14ac:dyDescent="0.2">
      <c r="R32" s="144"/>
    </row>
    <row r="33" spans="18:18" ht="15.75" customHeight="1" x14ac:dyDescent="0.2">
      <c r="R33" s="144"/>
    </row>
    <row r="34" spans="18:18" ht="15.75" customHeight="1" x14ac:dyDescent="0.2">
      <c r="R34" s="144"/>
    </row>
    <row r="35" spans="18:18" ht="15.75" customHeight="1" x14ac:dyDescent="0.2">
      <c r="R35" s="144"/>
    </row>
  </sheetData>
  <pageMargins left="0.7" right="0.7" top="0.75" bottom="0.75" header="0.3" footer="0.3"/>
  <pageSetup orientation="portrait" horizontalDpi="4294967292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15"/>
  <sheetViews>
    <sheetView tabSelected="1" zoomScale="90" zoomScaleNormal="9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J23" sqref="J23"/>
    </sheetView>
  </sheetViews>
  <sheetFormatPr defaultColWidth="14.140625" defaultRowHeight="15.75" customHeight="1" outlineLevelRow="1" x14ac:dyDescent="0.2"/>
  <cols>
    <col min="1" max="1" width="1.85546875" style="41" customWidth="1"/>
    <col min="2" max="2" width="14.140625" style="247" customWidth="1"/>
    <col min="3" max="3" width="9.140625" style="41" customWidth="1"/>
    <col min="4" max="4" width="2" style="41" customWidth="1"/>
    <col min="5" max="5" width="31.140625" style="41" customWidth="1"/>
    <col min="6" max="6" width="18.5703125" style="41" bestFit="1" customWidth="1"/>
    <col min="7" max="7" width="18.42578125" style="41" customWidth="1"/>
    <col min="8" max="8" width="20" style="41" bestFit="1" customWidth="1"/>
    <col min="9" max="9" width="17.85546875" style="41" bestFit="1" customWidth="1"/>
    <col min="10" max="11" width="20" style="41" bestFit="1" customWidth="1"/>
    <col min="12" max="12" width="18.5703125" style="41" bestFit="1" customWidth="1"/>
    <col min="13" max="14" width="19.140625" style="41" customWidth="1"/>
    <col min="15" max="15" width="20.28515625" style="41" bestFit="1" customWidth="1"/>
    <col min="16" max="16" width="21.7109375" style="41" bestFit="1" customWidth="1"/>
    <col min="17" max="17" width="17.7109375" style="41" bestFit="1" customWidth="1"/>
    <col min="18" max="18" width="17.85546875" style="103" bestFit="1" customWidth="1"/>
    <col min="19" max="19" width="15" style="41" bestFit="1" customWidth="1"/>
    <col min="20" max="21" width="14.140625" style="41"/>
    <col min="22" max="22" width="20.42578125" style="41" customWidth="1"/>
    <col min="23" max="16384" width="14.140625" style="41"/>
  </cols>
  <sheetData>
    <row r="1" spans="1:22" s="145" customFormat="1" ht="38.25" customHeight="1" x14ac:dyDescent="0.2">
      <c r="A1" s="266"/>
      <c r="B1" s="277" t="s">
        <v>149</v>
      </c>
      <c r="C1" s="267"/>
      <c r="D1" s="267"/>
      <c r="E1" s="268" t="s">
        <v>42</v>
      </c>
      <c r="F1" s="274">
        <v>45839</v>
      </c>
      <c r="G1" s="274">
        <v>45870</v>
      </c>
      <c r="H1" s="274">
        <v>45901</v>
      </c>
      <c r="I1" s="274">
        <v>45931</v>
      </c>
      <c r="J1" s="274">
        <v>45962</v>
      </c>
      <c r="K1" s="275">
        <v>45992</v>
      </c>
      <c r="L1" s="274">
        <v>46023</v>
      </c>
      <c r="M1" s="274">
        <v>46054</v>
      </c>
      <c r="N1" s="274">
        <v>46082</v>
      </c>
      <c r="O1" s="274">
        <v>46113</v>
      </c>
      <c r="P1" s="274">
        <v>46143</v>
      </c>
      <c r="Q1" s="274">
        <v>46174</v>
      </c>
      <c r="R1" s="260" t="s">
        <v>13</v>
      </c>
      <c r="S1" s="258" t="s">
        <v>43</v>
      </c>
      <c r="T1" s="261"/>
    </row>
    <row r="2" spans="1:22" s="111" customFormat="1" ht="38.25" customHeight="1" x14ac:dyDescent="0.2">
      <c r="A2" s="35"/>
      <c r="B2" s="270" t="s">
        <v>44</v>
      </c>
      <c r="C2" s="36"/>
      <c r="D2" s="37"/>
      <c r="E2" s="38" t="s">
        <v>147</v>
      </c>
      <c r="F2" s="271">
        <f>SUM(F3:F5)</f>
        <v>0</v>
      </c>
      <c r="G2" s="271">
        <f>SUM(G3:G5)</f>
        <v>0</v>
      </c>
      <c r="H2" s="271">
        <f t="shared" ref="H2:N2" si="0">SUM(H3:H5)</f>
        <v>0</v>
      </c>
      <c r="I2" s="271">
        <f>SUM(I3:I5)</f>
        <v>0</v>
      </c>
      <c r="J2" s="271">
        <f t="shared" si="0"/>
        <v>0</v>
      </c>
      <c r="K2" s="271">
        <f>SUM(K3:K5)</f>
        <v>0</v>
      </c>
      <c r="L2" s="271">
        <f t="shared" si="0"/>
        <v>0</v>
      </c>
      <c r="M2" s="271">
        <f t="shared" si="0"/>
        <v>0</v>
      </c>
      <c r="N2" s="271">
        <f t="shared" si="0"/>
        <v>0</v>
      </c>
      <c r="O2" s="271">
        <f>SUM(O3:O5)</f>
        <v>0</v>
      </c>
      <c r="P2" s="271">
        <f>SUM(P3:P5)</f>
        <v>0</v>
      </c>
      <c r="Q2" s="271">
        <f>SUM(Q3:Q5)</f>
        <v>0</v>
      </c>
      <c r="R2" s="39">
        <f>SUM(F2:Q2)</f>
        <v>0</v>
      </c>
      <c r="S2" s="147">
        <f>IFERROR(AVERAGE(F2:Q2), "Rp0")</f>
        <v>0</v>
      </c>
      <c r="T2" s="272"/>
    </row>
    <row r="3" spans="1:22" ht="22.5" customHeight="1" outlineLevel="1" x14ac:dyDescent="0.2">
      <c r="A3" s="42"/>
      <c r="B3" s="242"/>
      <c r="C3" s="43"/>
      <c r="D3" s="44"/>
      <c r="E3" s="45" t="s">
        <v>46</v>
      </c>
      <c r="F3" s="46">
        <v>0</v>
      </c>
      <c r="G3" s="46">
        <v>0</v>
      </c>
      <c r="H3" s="46">
        <v>0</v>
      </c>
      <c r="I3" s="46">
        <v>0</v>
      </c>
      <c r="J3" s="46">
        <v>0</v>
      </c>
      <c r="K3" s="46">
        <v>0</v>
      </c>
      <c r="L3" s="46">
        <v>0</v>
      </c>
      <c r="M3" s="46">
        <v>0</v>
      </c>
      <c r="N3" s="46">
        <v>0</v>
      </c>
      <c r="O3" s="46">
        <v>0</v>
      </c>
      <c r="P3" s="46">
        <v>0</v>
      </c>
      <c r="Q3" s="46">
        <v>0</v>
      </c>
      <c r="R3" s="39">
        <f>SUM(F3:Q3)</f>
        <v>0</v>
      </c>
      <c r="S3" s="147">
        <f>IFERROR(AVERAGE(F3:Q3), "Rp0")</f>
        <v>0</v>
      </c>
      <c r="T3" s="47"/>
      <c r="V3" s="241"/>
    </row>
    <row r="4" spans="1:22" ht="19.5" customHeight="1" outlineLevel="1" x14ac:dyDescent="0.2">
      <c r="A4" s="42"/>
      <c r="B4" s="242"/>
      <c r="C4" s="43"/>
      <c r="D4" s="48"/>
      <c r="E4" s="49" t="s">
        <v>47</v>
      </c>
      <c r="F4" s="50">
        <v>0</v>
      </c>
      <c r="G4" s="46">
        <v>0</v>
      </c>
      <c r="H4" s="46">
        <v>0</v>
      </c>
      <c r="I4" s="46">
        <v>0</v>
      </c>
      <c r="J4" s="46">
        <v>0</v>
      </c>
      <c r="K4" s="46">
        <v>0</v>
      </c>
      <c r="L4" s="46">
        <v>0</v>
      </c>
      <c r="M4" s="46">
        <v>0</v>
      </c>
      <c r="N4" s="46">
        <v>0</v>
      </c>
      <c r="O4" s="50">
        <v>0</v>
      </c>
      <c r="P4" s="50">
        <v>0</v>
      </c>
      <c r="Q4" s="50">
        <v>0</v>
      </c>
      <c r="R4" s="39">
        <f>SUM(F4:Q4)</f>
        <v>0</v>
      </c>
      <c r="S4" s="147">
        <f>IFERROR(AVERAGE(F4:Q4), "Rp0")</f>
        <v>0</v>
      </c>
      <c r="T4" s="51"/>
    </row>
    <row r="5" spans="1:22" ht="19.5" customHeight="1" x14ac:dyDescent="0.2">
      <c r="A5" s="42"/>
      <c r="B5" s="242"/>
      <c r="C5" s="43"/>
      <c r="D5" s="52"/>
      <c r="E5" s="53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39"/>
      <c r="S5" s="55"/>
      <c r="T5" s="56"/>
      <c r="V5" s="241"/>
    </row>
    <row r="6" spans="1:22" ht="19.5" customHeight="1" x14ac:dyDescent="0.2">
      <c r="A6" s="42"/>
      <c r="B6" s="242"/>
      <c r="C6" s="43"/>
      <c r="D6" s="57"/>
      <c r="E6" s="58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39"/>
      <c r="S6" s="55"/>
      <c r="T6" s="59"/>
      <c r="V6" s="241"/>
    </row>
    <row r="7" spans="1:22" s="111" customFormat="1" ht="42" customHeight="1" x14ac:dyDescent="0.2">
      <c r="A7" s="42"/>
      <c r="B7" s="243" t="s">
        <v>48</v>
      </c>
      <c r="C7" s="43"/>
      <c r="D7" s="60"/>
      <c r="E7" s="38" t="s">
        <v>146</v>
      </c>
      <c r="F7" s="146">
        <f t="shared" ref="F7:M7" si="1">SUM(F8:F42)</f>
        <v>20000</v>
      </c>
      <c r="G7" s="146">
        <f t="shared" si="1"/>
        <v>0</v>
      </c>
      <c r="H7" s="146">
        <f t="shared" si="1"/>
        <v>0</v>
      </c>
      <c r="I7" s="146">
        <f t="shared" si="1"/>
        <v>0</v>
      </c>
      <c r="J7" s="146">
        <f t="shared" si="1"/>
        <v>0</v>
      </c>
      <c r="K7" s="146">
        <f t="shared" si="1"/>
        <v>0</v>
      </c>
      <c r="L7" s="146">
        <f t="shared" si="1"/>
        <v>0</v>
      </c>
      <c r="M7" s="146">
        <f t="shared" si="1"/>
        <v>0</v>
      </c>
      <c r="N7" s="146">
        <f t="shared" ref="N7:Q7" si="2">SUM(N8:N42)</f>
        <v>0</v>
      </c>
      <c r="O7" s="146">
        <f>SUM(O8:O42)</f>
        <v>0</v>
      </c>
      <c r="P7" s="146">
        <f t="shared" si="2"/>
        <v>0</v>
      </c>
      <c r="Q7" s="146">
        <f t="shared" si="2"/>
        <v>0</v>
      </c>
      <c r="R7" s="39">
        <f>SUM(F7:Q7)</f>
        <v>20000</v>
      </c>
      <c r="S7" s="147">
        <f>IFERROR(AVERAGE(F7:Q7), "Rp0")</f>
        <v>1666.6666666666667</v>
      </c>
      <c r="T7" s="148"/>
      <c r="V7" s="240"/>
    </row>
    <row r="8" spans="1:22" ht="19.5" customHeight="1" outlineLevel="1" x14ac:dyDescent="0.2">
      <c r="A8" s="42"/>
      <c r="B8" s="242"/>
      <c r="C8" s="43"/>
      <c r="D8" s="44"/>
      <c r="E8" s="45" t="s">
        <v>49</v>
      </c>
      <c r="F8" s="46">
        <v>20000</v>
      </c>
      <c r="G8" s="46">
        <v>0</v>
      </c>
      <c r="H8" s="46">
        <v>0</v>
      </c>
      <c r="I8" s="46">
        <v>0</v>
      </c>
      <c r="J8" s="46">
        <v>0</v>
      </c>
      <c r="K8" s="46">
        <v>0</v>
      </c>
      <c r="L8" s="46">
        <v>0</v>
      </c>
      <c r="M8" s="46">
        <v>0</v>
      </c>
      <c r="N8" s="46">
        <v>0</v>
      </c>
      <c r="O8" s="46">
        <v>0</v>
      </c>
      <c r="P8" s="46">
        <v>0</v>
      </c>
      <c r="Q8" s="46">
        <v>0</v>
      </c>
      <c r="R8" s="39">
        <f t="shared" ref="R8:R42" si="3">SUM(F8:Q8)</f>
        <v>20000</v>
      </c>
      <c r="S8" s="40">
        <f>IFERROR(AVERAGE(F8:Q8), "Rp0")</f>
        <v>1666.6666666666667</v>
      </c>
      <c r="T8" s="47"/>
    </row>
    <row r="9" spans="1:22" ht="19.5" customHeight="1" outlineLevel="1" x14ac:dyDescent="0.2">
      <c r="A9" s="42"/>
      <c r="B9" s="242"/>
      <c r="C9" s="43"/>
      <c r="D9" s="61"/>
      <c r="E9" s="62" t="s">
        <v>50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  <c r="L9" s="46">
        <v>0</v>
      </c>
      <c r="M9" s="46">
        <v>0</v>
      </c>
      <c r="N9" s="46">
        <v>0</v>
      </c>
      <c r="O9" s="63">
        <v>0</v>
      </c>
      <c r="P9" s="63">
        <v>0</v>
      </c>
      <c r="Q9" s="63">
        <v>0</v>
      </c>
      <c r="R9" s="39">
        <f t="shared" si="3"/>
        <v>0</v>
      </c>
      <c r="S9" s="40">
        <f t="shared" ref="S9:S42" si="4">IFERROR(AVERAGE(F9:Q9), "Rp0")</f>
        <v>0</v>
      </c>
      <c r="T9" s="64"/>
    </row>
    <row r="10" spans="1:22" ht="25.5" outlineLevel="1" x14ac:dyDescent="0.2">
      <c r="A10" s="42"/>
      <c r="B10" s="242"/>
      <c r="C10" s="43"/>
      <c r="D10" s="61"/>
      <c r="E10" s="62" t="s">
        <v>51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63">
        <v>0</v>
      </c>
      <c r="P10" s="63">
        <v>0</v>
      </c>
      <c r="Q10" s="63">
        <v>0</v>
      </c>
      <c r="R10" s="39">
        <f t="shared" si="3"/>
        <v>0</v>
      </c>
      <c r="S10" s="40">
        <f t="shared" si="4"/>
        <v>0</v>
      </c>
      <c r="T10" s="64"/>
    </row>
    <row r="11" spans="1:22" ht="19.5" customHeight="1" outlineLevel="1" x14ac:dyDescent="0.2">
      <c r="A11" s="42"/>
      <c r="B11" s="242"/>
      <c r="C11" s="43"/>
      <c r="D11" s="61"/>
      <c r="E11" s="62" t="s">
        <v>52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v>0</v>
      </c>
      <c r="O11" s="63">
        <v>0</v>
      </c>
      <c r="P11" s="63">
        <v>0</v>
      </c>
      <c r="Q11" s="63">
        <v>0</v>
      </c>
      <c r="R11" s="39">
        <f t="shared" si="3"/>
        <v>0</v>
      </c>
      <c r="S11" s="40">
        <f t="shared" si="4"/>
        <v>0</v>
      </c>
      <c r="T11" s="64"/>
    </row>
    <row r="12" spans="1:22" ht="19.5" customHeight="1" outlineLevel="1" x14ac:dyDescent="0.2">
      <c r="A12" s="42"/>
      <c r="B12" s="242"/>
      <c r="C12" s="43"/>
      <c r="D12" s="61"/>
      <c r="E12" s="62" t="s">
        <v>53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63">
        <v>0</v>
      </c>
      <c r="P12" s="63">
        <v>0</v>
      </c>
      <c r="Q12" s="63">
        <v>0</v>
      </c>
      <c r="R12" s="39">
        <f t="shared" si="3"/>
        <v>0</v>
      </c>
      <c r="S12" s="40">
        <f t="shared" si="4"/>
        <v>0</v>
      </c>
      <c r="T12" s="64"/>
    </row>
    <row r="13" spans="1:22" ht="19.5" customHeight="1" outlineLevel="1" x14ac:dyDescent="0.2">
      <c r="A13" s="42"/>
      <c r="B13" s="242"/>
      <c r="C13" s="43"/>
      <c r="D13" s="61"/>
      <c r="E13" s="62" t="s">
        <v>54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63">
        <v>0</v>
      </c>
      <c r="P13" s="63">
        <v>0</v>
      </c>
      <c r="Q13" s="63">
        <v>0</v>
      </c>
      <c r="R13" s="39">
        <f t="shared" si="3"/>
        <v>0</v>
      </c>
      <c r="S13" s="40">
        <f t="shared" si="4"/>
        <v>0</v>
      </c>
      <c r="T13" s="64"/>
    </row>
    <row r="14" spans="1:22" ht="25.5" outlineLevel="1" x14ac:dyDescent="0.2">
      <c r="A14" s="42"/>
      <c r="B14" s="242"/>
      <c r="C14" s="43"/>
      <c r="D14" s="61"/>
      <c r="E14" s="62" t="s">
        <v>55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63">
        <v>0</v>
      </c>
      <c r="P14" s="63">
        <v>0</v>
      </c>
      <c r="Q14" s="63">
        <v>0</v>
      </c>
      <c r="R14" s="39">
        <f t="shared" si="3"/>
        <v>0</v>
      </c>
      <c r="S14" s="40">
        <f t="shared" si="4"/>
        <v>0</v>
      </c>
      <c r="T14" s="64"/>
    </row>
    <row r="15" spans="1:22" ht="19.5" customHeight="1" outlineLevel="1" x14ac:dyDescent="0.2">
      <c r="A15" s="42"/>
      <c r="B15" s="242"/>
      <c r="C15" s="43"/>
      <c r="D15" s="61"/>
      <c r="E15" s="62" t="s">
        <v>56</v>
      </c>
      <c r="F15" s="46">
        <v>0</v>
      </c>
      <c r="G15" s="46">
        <v>0</v>
      </c>
      <c r="H15" s="46">
        <v>0</v>
      </c>
      <c r="I15" s="46">
        <v>0</v>
      </c>
      <c r="J15" s="46">
        <v>0</v>
      </c>
      <c r="K15" s="46">
        <v>0</v>
      </c>
      <c r="L15" s="46">
        <v>0</v>
      </c>
      <c r="M15" s="46">
        <v>0</v>
      </c>
      <c r="N15" s="46">
        <v>0</v>
      </c>
      <c r="O15" s="63">
        <v>0</v>
      </c>
      <c r="P15" s="63">
        <v>0</v>
      </c>
      <c r="Q15" s="63">
        <v>0</v>
      </c>
      <c r="R15" s="39">
        <f t="shared" si="3"/>
        <v>0</v>
      </c>
      <c r="S15" s="40">
        <f t="shared" si="4"/>
        <v>0</v>
      </c>
      <c r="T15" s="64"/>
    </row>
    <row r="16" spans="1:22" ht="19.5" customHeight="1" outlineLevel="1" x14ac:dyDescent="0.2">
      <c r="A16" s="42"/>
      <c r="B16" s="242"/>
      <c r="C16" s="43"/>
      <c r="D16" s="61"/>
      <c r="E16" s="62" t="s">
        <v>57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  <c r="L16" s="46">
        <v>0</v>
      </c>
      <c r="M16" s="46">
        <v>0</v>
      </c>
      <c r="N16" s="46">
        <v>0</v>
      </c>
      <c r="O16" s="63">
        <v>0</v>
      </c>
      <c r="P16" s="63">
        <v>0</v>
      </c>
      <c r="Q16" s="63">
        <v>0</v>
      </c>
      <c r="R16" s="39">
        <f t="shared" si="3"/>
        <v>0</v>
      </c>
      <c r="S16" s="40">
        <f t="shared" si="4"/>
        <v>0</v>
      </c>
      <c r="T16" s="64"/>
    </row>
    <row r="17" spans="1:20" ht="25.5" outlineLevel="1" x14ac:dyDescent="0.2">
      <c r="A17" s="65"/>
      <c r="B17" s="244"/>
      <c r="C17" s="66"/>
      <c r="D17" s="61"/>
      <c r="E17" s="62" t="s">
        <v>58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v>0</v>
      </c>
      <c r="O17" s="63">
        <v>0</v>
      </c>
      <c r="P17" s="63">
        <v>0</v>
      </c>
      <c r="Q17" s="63">
        <v>0</v>
      </c>
      <c r="R17" s="39">
        <f t="shared" si="3"/>
        <v>0</v>
      </c>
      <c r="S17" s="40">
        <f t="shared" si="4"/>
        <v>0</v>
      </c>
      <c r="T17" s="64"/>
    </row>
    <row r="18" spans="1:20" ht="25.5" outlineLevel="1" x14ac:dyDescent="0.2">
      <c r="A18" s="65"/>
      <c r="B18" s="244"/>
      <c r="C18" s="66"/>
      <c r="D18" s="61"/>
      <c r="E18" s="62" t="s">
        <v>59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  <c r="L18" s="46">
        <v>0</v>
      </c>
      <c r="M18" s="46">
        <v>0</v>
      </c>
      <c r="N18" s="46">
        <v>0</v>
      </c>
      <c r="O18" s="63">
        <v>0</v>
      </c>
      <c r="P18" s="63">
        <v>0</v>
      </c>
      <c r="Q18" s="63">
        <v>0</v>
      </c>
      <c r="R18" s="39">
        <f t="shared" si="3"/>
        <v>0</v>
      </c>
      <c r="S18" s="40">
        <f t="shared" si="4"/>
        <v>0</v>
      </c>
      <c r="T18" s="64"/>
    </row>
    <row r="19" spans="1:20" ht="19.5" customHeight="1" outlineLevel="1" x14ac:dyDescent="0.2">
      <c r="A19" s="65"/>
      <c r="B19" s="244"/>
      <c r="C19" s="66"/>
      <c r="D19" s="61"/>
      <c r="E19" s="62" t="s">
        <v>60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v>0</v>
      </c>
      <c r="O19" s="63">
        <v>0</v>
      </c>
      <c r="P19" s="63">
        <v>0</v>
      </c>
      <c r="Q19" s="63">
        <v>0</v>
      </c>
      <c r="R19" s="39">
        <f t="shared" si="3"/>
        <v>0</v>
      </c>
      <c r="S19" s="40">
        <f t="shared" si="4"/>
        <v>0</v>
      </c>
      <c r="T19" s="64"/>
    </row>
    <row r="20" spans="1:20" ht="19.5" customHeight="1" outlineLevel="1" x14ac:dyDescent="0.2">
      <c r="A20" s="65"/>
      <c r="B20" s="244"/>
      <c r="C20" s="66"/>
      <c r="D20" s="61"/>
      <c r="E20" s="62" t="s">
        <v>61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v>0</v>
      </c>
      <c r="O20" s="63">
        <v>0</v>
      </c>
      <c r="P20" s="63">
        <v>0</v>
      </c>
      <c r="Q20" s="63">
        <v>0</v>
      </c>
      <c r="R20" s="39">
        <f t="shared" si="3"/>
        <v>0</v>
      </c>
      <c r="S20" s="40">
        <f t="shared" si="4"/>
        <v>0</v>
      </c>
      <c r="T20" s="64"/>
    </row>
    <row r="21" spans="1:20" ht="19.5" customHeight="1" outlineLevel="1" x14ac:dyDescent="0.2">
      <c r="A21" s="239" t="e">
        <f>#REF!+#REF!+#REF!</f>
        <v>#REF!</v>
      </c>
      <c r="B21" s="244"/>
      <c r="C21" s="66"/>
      <c r="D21" s="61"/>
      <c r="E21" s="62" t="s">
        <v>62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63">
        <v>0</v>
      </c>
      <c r="P21" s="63">
        <v>0</v>
      </c>
      <c r="Q21" s="63">
        <v>0</v>
      </c>
      <c r="R21" s="39">
        <f t="shared" si="3"/>
        <v>0</v>
      </c>
      <c r="S21" s="40">
        <f t="shared" si="4"/>
        <v>0</v>
      </c>
      <c r="T21" s="64"/>
    </row>
    <row r="22" spans="1:20" ht="19.5" customHeight="1" outlineLevel="1" x14ac:dyDescent="0.2">
      <c r="A22" s="65"/>
      <c r="B22" s="244"/>
      <c r="C22" s="66"/>
      <c r="D22" s="61"/>
      <c r="E22" s="62" t="s">
        <v>63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63">
        <v>0</v>
      </c>
      <c r="P22" s="63">
        <v>0</v>
      </c>
      <c r="Q22" s="63">
        <v>0</v>
      </c>
      <c r="R22" s="39">
        <f t="shared" si="3"/>
        <v>0</v>
      </c>
      <c r="S22" s="40">
        <f t="shared" si="4"/>
        <v>0</v>
      </c>
      <c r="T22" s="64"/>
    </row>
    <row r="23" spans="1:20" ht="19.5" customHeight="1" outlineLevel="1" x14ac:dyDescent="0.2">
      <c r="A23" s="65"/>
      <c r="B23" s="244"/>
      <c r="C23" s="66"/>
      <c r="D23" s="61"/>
      <c r="E23" s="62" t="s">
        <v>64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  <c r="L23" s="46">
        <v>0</v>
      </c>
      <c r="M23" s="46">
        <v>0</v>
      </c>
      <c r="N23" s="46">
        <v>0</v>
      </c>
      <c r="O23" s="63">
        <v>0</v>
      </c>
      <c r="P23" s="63">
        <v>0</v>
      </c>
      <c r="Q23" s="63">
        <v>0</v>
      </c>
      <c r="R23" s="39">
        <f t="shared" si="3"/>
        <v>0</v>
      </c>
      <c r="S23" s="40">
        <f t="shared" si="4"/>
        <v>0</v>
      </c>
      <c r="T23" s="64"/>
    </row>
    <row r="24" spans="1:20" ht="19.5" customHeight="1" outlineLevel="1" x14ac:dyDescent="0.2">
      <c r="A24" s="65"/>
      <c r="B24" s="244"/>
      <c r="C24" s="66"/>
      <c r="D24" s="61"/>
      <c r="E24" s="62" t="s">
        <v>65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63">
        <v>0</v>
      </c>
      <c r="P24" s="63">
        <v>0</v>
      </c>
      <c r="Q24" s="63">
        <v>0</v>
      </c>
      <c r="R24" s="39">
        <f t="shared" si="3"/>
        <v>0</v>
      </c>
      <c r="S24" s="40">
        <f t="shared" si="4"/>
        <v>0</v>
      </c>
      <c r="T24" s="64"/>
    </row>
    <row r="25" spans="1:20" ht="19.5" customHeight="1" outlineLevel="1" x14ac:dyDescent="0.2">
      <c r="A25" s="65"/>
      <c r="B25" s="244"/>
      <c r="C25" s="66"/>
      <c r="D25" s="61"/>
      <c r="E25" s="62" t="s">
        <v>66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63">
        <v>0</v>
      </c>
      <c r="P25" s="63">
        <v>0</v>
      </c>
      <c r="Q25" s="63">
        <v>0</v>
      </c>
      <c r="R25" s="39">
        <f t="shared" si="3"/>
        <v>0</v>
      </c>
      <c r="S25" s="40">
        <f t="shared" si="4"/>
        <v>0</v>
      </c>
      <c r="T25" s="64"/>
    </row>
    <row r="26" spans="1:20" ht="19.5" customHeight="1" outlineLevel="1" x14ac:dyDescent="0.2">
      <c r="A26" s="65"/>
      <c r="B26" s="244"/>
      <c r="C26" s="66"/>
      <c r="D26" s="61"/>
      <c r="E26" s="62" t="s">
        <v>67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63">
        <v>0</v>
      </c>
      <c r="P26" s="63">
        <v>0</v>
      </c>
      <c r="Q26" s="63">
        <v>0</v>
      </c>
      <c r="R26" s="39">
        <f t="shared" si="3"/>
        <v>0</v>
      </c>
      <c r="S26" s="40">
        <f t="shared" si="4"/>
        <v>0</v>
      </c>
      <c r="T26" s="64"/>
    </row>
    <row r="27" spans="1:20" ht="25.5" outlineLevel="1" x14ac:dyDescent="0.2">
      <c r="A27" s="65"/>
      <c r="B27" s="244"/>
      <c r="C27" s="66"/>
      <c r="D27" s="61"/>
      <c r="E27" s="62" t="s">
        <v>144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63">
        <v>0</v>
      </c>
      <c r="P27" s="63">
        <v>0</v>
      </c>
      <c r="Q27" s="63">
        <v>0</v>
      </c>
      <c r="R27" s="39">
        <f t="shared" si="3"/>
        <v>0</v>
      </c>
      <c r="S27" s="40">
        <f t="shared" si="4"/>
        <v>0</v>
      </c>
      <c r="T27" s="64"/>
    </row>
    <row r="28" spans="1:20" outlineLevel="1" x14ac:dyDescent="0.2">
      <c r="A28" s="42"/>
      <c r="B28" s="242"/>
      <c r="C28" s="43"/>
      <c r="D28" s="61"/>
      <c r="E28" s="62" t="s">
        <v>68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v>0</v>
      </c>
      <c r="O28" s="63">
        <v>0</v>
      </c>
      <c r="P28" s="63">
        <v>0</v>
      </c>
      <c r="Q28" s="63">
        <v>0</v>
      </c>
      <c r="R28" s="39">
        <f t="shared" si="3"/>
        <v>0</v>
      </c>
      <c r="S28" s="40">
        <f t="shared" si="4"/>
        <v>0</v>
      </c>
      <c r="T28" s="64"/>
    </row>
    <row r="29" spans="1:20" ht="19.5" customHeight="1" outlineLevel="1" x14ac:dyDescent="0.2">
      <c r="A29" s="42"/>
      <c r="B29" s="242"/>
      <c r="C29" s="43"/>
      <c r="D29" s="61"/>
      <c r="E29" s="62" t="s">
        <v>69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v>0</v>
      </c>
      <c r="O29" s="63">
        <v>0</v>
      </c>
      <c r="P29" s="63">
        <v>0</v>
      </c>
      <c r="Q29" s="63">
        <v>0</v>
      </c>
      <c r="R29" s="39">
        <f t="shared" si="3"/>
        <v>0</v>
      </c>
      <c r="S29" s="40">
        <f>IFERROR(AVERAGE(F29:Q29), "Rp0")</f>
        <v>0</v>
      </c>
      <c r="T29" s="64"/>
    </row>
    <row r="30" spans="1:20" ht="19.5" customHeight="1" outlineLevel="1" x14ac:dyDescent="0.2">
      <c r="A30" s="42"/>
      <c r="B30" s="242"/>
      <c r="C30" s="43"/>
      <c r="D30" s="61"/>
      <c r="E30" s="62" t="s">
        <v>70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63">
        <v>0</v>
      </c>
      <c r="P30" s="63">
        <v>0</v>
      </c>
      <c r="Q30" s="63">
        <v>0</v>
      </c>
      <c r="R30" s="39">
        <f t="shared" si="3"/>
        <v>0</v>
      </c>
      <c r="S30" s="40">
        <f t="shared" si="4"/>
        <v>0</v>
      </c>
      <c r="T30" s="64"/>
    </row>
    <row r="31" spans="1:20" ht="53.25" customHeight="1" outlineLevel="1" x14ac:dyDescent="0.2">
      <c r="A31" s="42"/>
      <c r="B31" s="242"/>
      <c r="C31" s="43"/>
      <c r="D31" s="61"/>
      <c r="E31" s="62" t="s">
        <v>145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  <c r="L31" s="46">
        <v>0</v>
      </c>
      <c r="M31" s="46">
        <v>0</v>
      </c>
      <c r="N31" s="46">
        <v>0</v>
      </c>
      <c r="O31" s="63">
        <v>0</v>
      </c>
      <c r="P31" s="63">
        <v>0</v>
      </c>
      <c r="Q31" s="63">
        <v>0</v>
      </c>
      <c r="R31" s="39">
        <f t="shared" si="3"/>
        <v>0</v>
      </c>
      <c r="S31" s="40">
        <f t="shared" si="4"/>
        <v>0</v>
      </c>
      <c r="T31" s="64"/>
    </row>
    <row r="32" spans="1:20" ht="19.5" customHeight="1" outlineLevel="1" x14ac:dyDescent="0.2">
      <c r="A32" s="42"/>
      <c r="B32" s="242"/>
      <c r="C32" s="43"/>
      <c r="D32" s="61"/>
      <c r="E32" s="62" t="s">
        <v>71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v>0</v>
      </c>
      <c r="O32" s="63">
        <v>0</v>
      </c>
      <c r="P32" s="63">
        <v>0</v>
      </c>
      <c r="Q32" s="63">
        <v>0</v>
      </c>
      <c r="R32" s="39">
        <f t="shared" si="3"/>
        <v>0</v>
      </c>
      <c r="S32" s="40">
        <f t="shared" si="4"/>
        <v>0</v>
      </c>
      <c r="T32" s="64"/>
    </row>
    <row r="33" spans="1:20" ht="19.5" customHeight="1" outlineLevel="1" x14ac:dyDescent="0.2">
      <c r="A33" s="42"/>
      <c r="B33" s="242"/>
      <c r="C33" s="43"/>
      <c r="D33" s="61"/>
      <c r="E33" s="62" t="s">
        <v>72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  <c r="L33" s="46">
        <v>0</v>
      </c>
      <c r="M33" s="46">
        <v>0</v>
      </c>
      <c r="N33" s="46">
        <v>0</v>
      </c>
      <c r="O33" s="63">
        <v>0</v>
      </c>
      <c r="P33" s="63">
        <v>0</v>
      </c>
      <c r="Q33" s="63">
        <v>0</v>
      </c>
      <c r="R33" s="39">
        <f t="shared" si="3"/>
        <v>0</v>
      </c>
      <c r="S33" s="40">
        <f t="shared" si="4"/>
        <v>0</v>
      </c>
      <c r="T33" s="64"/>
    </row>
    <row r="34" spans="1:20" ht="19.5" customHeight="1" outlineLevel="1" x14ac:dyDescent="0.2">
      <c r="A34" s="42"/>
      <c r="B34" s="242"/>
      <c r="C34" s="43"/>
      <c r="D34" s="61"/>
      <c r="E34" s="62" t="s">
        <v>73</v>
      </c>
      <c r="F34" s="46">
        <v>0</v>
      </c>
      <c r="G34" s="46">
        <v>0</v>
      </c>
      <c r="H34" s="46">
        <v>0</v>
      </c>
      <c r="I34" s="46">
        <v>0</v>
      </c>
      <c r="J34" s="46">
        <v>0</v>
      </c>
      <c r="K34" s="46">
        <v>0</v>
      </c>
      <c r="L34" s="46">
        <v>0</v>
      </c>
      <c r="M34" s="46">
        <v>0</v>
      </c>
      <c r="N34" s="46">
        <v>0</v>
      </c>
      <c r="O34" s="63">
        <v>0</v>
      </c>
      <c r="P34" s="63">
        <v>0</v>
      </c>
      <c r="Q34" s="63">
        <v>0</v>
      </c>
      <c r="R34" s="39">
        <f t="shared" si="3"/>
        <v>0</v>
      </c>
      <c r="S34" s="40">
        <f t="shared" si="4"/>
        <v>0</v>
      </c>
      <c r="T34" s="64"/>
    </row>
    <row r="35" spans="1:20" outlineLevel="1" x14ac:dyDescent="0.2">
      <c r="A35" s="42"/>
      <c r="B35" s="242"/>
      <c r="C35" s="43"/>
      <c r="D35" s="61"/>
      <c r="E35" s="62" t="s">
        <v>74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  <c r="L35" s="46">
        <v>0</v>
      </c>
      <c r="M35" s="46">
        <v>0</v>
      </c>
      <c r="N35" s="46">
        <v>0</v>
      </c>
      <c r="O35" s="63">
        <v>0</v>
      </c>
      <c r="P35" s="63">
        <v>0</v>
      </c>
      <c r="Q35" s="63">
        <v>0</v>
      </c>
      <c r="R35" s="39">
        <f t="shared" si="3"/>
        <v>0</v>
      </c>
      <c r="S35" s="40">
        <f t="shared" si="4"/>
        <v>0</v>
      </c>
      <c r="T35" s="64"/>
    </row>
    <row r="36" spans="1:20" ht="19.5" customHeight="1" outlineLevel="1" x14ac:dyDescent="0.2">
      <c r="A36" s="65"/>
      <c r="B36" s="244"/>
      <c r="C36" s="66"/>
      <c r="D36" s="61"/>
      <c r="E36" s="62" t="s">
        <v>75</v>
      </c>
      <c r="F36" s="46">
        <v>0</v>
      </c>
      <c r="G36" s="46">
        <v>0</v>
      </c>
      <c r="H36" s="46">
        <v>0</v>
      </c>
      <c r="I36" s="46">
        <v>0</v>
      </c>
      <c r="J36" s="46">
        <v>0</v>
      </c>
      <c r="K36" s="46">
        <v>0</v>
      </c>
      <c r="L36" s="46">
        <v>0</v>
      </c>
      <c r="M36" s="46">
        <v>0</v>
      </c>
      <c r="N36" s="46">
        <v>0</v>
      </c>
      <c r="O36" s="63">
        <v>0</v>
      </c>
      <c r="P36" s="63">
        <v>0</v>
      </c>
      <c r="Q36" s="63">
        <v>0</v>
      </c>
      <c r="R36" s="39">
        <f t="shared" si="3"/>
        <v>0</v>
      </c>
      <c r="S36" s="40">
        <f t="shared" si="4"/>
        <v>0</v>
      </c>
      <c r="T36" s="64"/>
    </row>
    <row r="37" spans="1:20" outlineLevel="1" x14ac:dyDescent="0.2">
      <c r="A37" s="42"/>
      <c r="B37" s="242"/>
      <c r="C37" s="43"/>
      <c r="D37" s="61"/>
      <c r="E37" s="62" t="s">
        <v>76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  <c r="M37" s="46">
        <v>0</v>
      </c>
      <c r="N37" s="46">
        <v>0</v>
      </c>
      <c r="O37" s="63">
        <v>0</v>
      </c>
      <c r="P37" s="63">
        <v>0</v>
      </c>
      <c r="Q37" s="63">
        <v>0</v>
      </c>
      <c r="R37" s="39">
        <f t="shared" si="3"/>
        <v>0</v>
      </c>
      <c r="S37" s="40">
        <f t="shared" si="4"/>
        <v>0</v>
      </c>
      <c r="T37" s="64"/>
    </row>
    <row r="38" spans="1:20" ht="19.5" customHeight="1" outlineLevel="1" x14ac:dyDescent="0.2">
      <c r="A38" s="42"/>
      <c r="B38" s="242"/>
      <c r="C38" s="43"/>
      <c r="D38" s="61"/>
      <c r="E38" s="62" t="s">
        <v>77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v>0</v>
      </c>
      <c r="O38" s="63">
        <v>0</v>
      </c>
      <c r="P38" s="63">
        <v>0</v>
      </c>
      <c r="Q38" s="63">
        <v>0</v>
      </c>
      <c r="R38" s="39">
        <f t="shared" si="3"/>
        <v>0</v>
      </c>
      <c r="S38" s="40">
        <f t="shared" si="4"/>
        <v>0</v>
      </c>
      <c r="T38" s="64"/>
    </row>
    <row r="39" spans="1:20" ht="19.5" customHeight="1" outlineLevel="1" x14ac:dyDescent="0.2">
      <c r="A39" s="42"/>
      <c r="B39" s="242"/>
      <c r="C39" s="43"/>
      <c r="D39" s="61"/>
      <c r="E39" s="62" t="s">
        <v>78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63">
        <v>0</v>
      </c>
      <c r="P39" s="63">
        <v>0</v>
      </c>
      <c r="Q39" s="63">
        <v>0</v>
      </c>
      <c r="R39" s="39">
        <f t="shared" si="3"/>
        <v>0</v>
      </c>
      <c r="S39" s="40">
        <f t="shared" si="4"/>
        <v>0</v>
      </c>
      <c r="T39" s="64"/>
    </row>
    <row r="40" spans="1:20" ht="19.5" customHeight="1" outlineLevel="1" x14ac:dyDescent="0.2">
      <c r="A40" s="42"/>
      <c r="B40" s="242"/>
      <c r="C40" s="43"/>
      <c r="D40" s="61"/>
      <c r="E40" s="62" t="s">
        <v>79</v>
      </c>
      <c r="F40" s="46">
        <v>0</v>
      </c>
      <c r="G40" s="46">
        <v>0</v>
      </c>
      <c r="H40" s="46">
        <v>0</v>
      </c>
      <c r="I40" s="46">
        <v>0</v>
      </c>
      <c r="J40" s="46">
        <v>0</v>
      </c>
      <c r="K40" s="46">
        <v>0</v>
      </c>
      <c r="L40" s="46">
        <v>0</v>
      </c>
      <c r="M40" s="46">
        <v>0</v>
      </c>
      <c r="N40" s="46">
        <v>0</v>
      </c>
      <c r="O40" s="63">
        <v>0</v>
      </c>
      <c r="P40" s="63">
        <v>0</v>
      </c>
      <c r="Q40" s="63">
        <v>0</v>
      </c>
      <c r="R40" s="39">
        <f t="shared" si="3"/>
        <v>0</v>
      </c>
      <c r="S40" s="40">
        <f t="shared" si="4"/>
        <v>0</v>
      </c>
      <c r="T40" s="64"/>
    </row>
    <row r="41" spans="1:20" ht="19.5" customHeight="1" outlineLevel="1" x14ac:dyDescent="0.2">
      <c r="A41" s="42"/>
      <c r="B41" s="242"/>
      <c r="C41" s="43"/>
      <c r="D41" s="61"/>
      <c r="E41" s="62" t="s">
        <v>80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v>0</v>
      </c>
      <c r="O41" s="63">
        <v>0</v>
      </c>
      <c r="P41" s="63">
        <v>0</v>
      </c>
      <c r="Q41" s="63">
        <v>0</v>
      </c>
      <c r="R41" s="39">
        <f t="shared" si="3"/>
        <v>0</v>
      </c>
      <c r="S41" s="40">
        <f>IFERROR(AVERAGE(F41:Q41), "Rp0")</f>
        <v>0</v>
      </c>
      <c r="T41" s="64"/>
    </row>
    <row r="42" spans="1:20" ht="19.5" customHeight="1" outlineLevel="1" x14ac:dyDescent="0.2">
      <c r="A42" s="42"/>
      <c r="B42" s="242"/>
      <c r="C42" s="43"/>
      <c r="D42" s="61"/>
      <c r="E42" s="67" t="s">
        <v>81</v>
      </c>
      <c r="F42" s="46">
        <v>0</v>
      </c>
      <c r="G42" s="46">
        <v>0</v>
      </c>
      <c r="H42" s="46">
        <v>0</v>
      </c>
      <c r="I42" s="46">
        <v>0</v>
      </c>
      <c r="J42" s="46">
        <v>0</v>
      </c>
      <c r="K42" s="46">
        <v>0</v>
      </c>
      <c r="L42" s="46">
        <v>0</v>
      </c>
      <c r="M42" s="46">
        <v>0</v>
      </c>
      <c r="N42" s="46">
        <v>0</v>
      </c>
      <c r="O42" s="68">
        <v>0</v>
      </c>
      <c r="P42" s="68">
        <v>0</v>
      </c>
      <c r="Q42" s="68">
        <v>0</v>
      </c>
      <c r="R42" s="39">
        <f t="shared" si="3"/>
        <v>0</v>
      </c>
      <c r="S42" s="40">
        <f t="shared" si="4"/>
        <v>0</v>
      </c>
      <c r="T42" s="69"/>
    </row>
    <row r="43" spans="1:20" ht="19.5" customHeight="1" x14ac:dyDescent="0.2">
      <c r="A43" s="42"/>
      <c r="B43" s="242"/>
      <c r="C43" s="43"/>
      <c r="D43" s="70"/>
      <c r="E43" s="58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39"/>
      <c r="S43" s="55"/>
      <c r="T43" s="56"/>
    </row>
    <row r="44" spans="1:20" ht="19.5" customHeight="1" x14ac:dyDescent="0.2">
      <c r="A44" s="42"/>
      <c r="B44" s="242"/>
      <c r="C44" s="43"/>
      <c r="D44" s="57"/>
      <c r="E44" s="58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39"/>
      <c r="S44" s="55"/>
      <c r="T44" s="59"/>
    </row>
    <row r="45" spans="1:20" s="111" customFormat="1" ht="38.25" customHeight="1" x14ac:dyDescent="0.2">
      <c r="A45" s="42"/>
      <c r="B45" s="243" t="s">
        <v>82</v>
      </c>
      <c r="C45" s="43"/>
      <c r="D45" s="60"/>
      <c r="E45" s="38" t="s">
        <v>45</v>
      </c>
      <c r="F45" s="146">
        <f>SUM(F46:F68)</f>
        <v>0</v>
      </c>
      <c r="G45" s="146">
        <f t="shared" ref="G45:P45" si="5">SUM(G46:G68)</f>
        <v>0</v>
      </c>
      <c r="H45" s="146">
        <f t="shared" si="5"/>
        <v>0</v>
      </c>
      <c r="I45" s="146">
        <f t="shared" si="5"/>
        <v>0</v>
      </c>
      <c r="J45" s="146">
        <f t="shared" si="5"/>
        <v>0</v>
      </c>
      <c r="K45" s="146">
        <f t="shared" si="5"/>
        <v>0</v>
      </c>
      <c r="L45" s="146">
        <f t="shared" si="5"/>
        <v>0</v>
      </c>
      <c r="M45" s="146">
        <f t="shared" si="5"/>
        <v>0</v>
      </c>
      <c r="N45" s="146">
        <f t="shared" si="5"/>
        <v>0</v>
      </c>
      <c r="O45" s="146">
        <f t="shared" si="5"/>
        <v>0</v>
      </c>
      <c r="P45" s="146">
        <f t="shared" si="5"/>
        <v>0</v>
      </c>
      <c r="Q45" s="146">
        <f>SUM(Q46:Q68)</f>
        <v>0</v>
      </c>
      <c r="R45" s="39">
        <f t="shared" ref="R45:R65" si="6">SUM(F45:Q45)</f>
        <v>0</v>
      </c>
      <c r="S45" s="147">
        <f>IFERROR(AVERAGE(F45:Q45), "Rp0")</f>
        <v>0</v>
      </c>
      <c r="T45" s="71"/>
    </row>
    <row r="46" spans="1:20" ht="19.5" customHeight="1" outlineLevel="1" x14ac:dyDescent="0.2">
      <c r="A46" s="42"/>
      <c r="B46" s="242"/>
      <c r="C46" s="43"/>
      <c r="D46" s="44"/>
      <c r="E46" s="45" t="s">
        <v>83</v>
      </c>
      <c r="F46" s="46">
        <v>0</v>
      </c>
      <c r="G46" s="46">
        <v>0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  <c r="M46" s="46">
        <v>0</v>
      </c>
      <c r="N46" s="46">
        <v>0</v>
      </c>
      <c r="O46" s="46">
        <v>0</v>
      </c>
      <c r="P46" s="46">
        <v>0</v>
      </c>
      <c r="Q46" s="46">
        <v>0</v>
      </c>
      <c r="R46" s="39">
        <f t="shared" si="6"/>
        <v>0</v>
      </c>
      <c r="S46" s="40">
        <f>IFERROR(AVERAGE(F46:Q46), "Rp0")</f>
        <v>0</v>
      </c>
      <c r="T46" s="47"/>
    </row>
    <row r="47" spans="1:20" ht="19.5" customHeight="1" outlineLevel="1" x14ac:dyDescent="0.2">
      <c r="A47" s="42"/>
      <c r="B47" s="242"/>
      <c r="C47" s="43"/>
      <c r="D47" s="61"/>
      <c r="E47" s="62" t="s">
        <v>84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v>0</v>
      </c>
      <c r="O47" s="46">
        <v>0</v>
      </c>
      <c r="P47" s="63">
        <v>0</v>
      </c>
      <c r="Q47" s="63">
        <v>0</v>
      </c>
      <c r="R47" s="39">
        <f t="shared" si="6"/>
        <v>0</v>
      </c>
      <c r="S47" s="40">
        <f t="shared" ref="S47:S68" si="7">IFERROR(AVERAGE(F47:Q47), "Rp0")</f>
        <v>0</v>
      </c>
      <c r="T47" s="64"/>
    </row>
    <row r="48" spans="1:20" ht="19.5" customHeight="1" outlineLevel="1" x14ac:dyDescent="0.2">
      <c r="A48" s="42"/>
      <c r="B48" s="242"/>
      <c r="C48" s="43"/>
      <c r="D48" s="61"/>
      <c r="E48" s="62" t="s">
        <v>85</v>
      </c>
      <c r="F48" s="46">
        <v>0</v>
      </c>
      <c r="G48" s="46">
        <v>0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v>0</v>
      </c>
      <c r="O48" s="46">
        <v>0</v>
      </c>
      <c r="P48" s="63">
        <v>0</v>
      </c>
      <c r="Q48" s="63">
        <v>0</v>
      </c>
      <c r="R48" s="39">
        <f t="shared" si="6"/>
        <v>0</v>
      </c>
      <c r="S48" s="40">
        <f t="shared" si="7"/>
        <v>0</v>
      </c>
      <c r="T48" s="64"/>
    </row>
    <row r="49" spans="1:20" ht="19.5" customHeight="1" outlineLevel="1" x14ac:dyDescent="0.2">
      <c r="A49" s="42"/>
      <c r="B49" s="242"/>
      <c r="C49" s="43"/>
      <c r="D49" s="61"/>
      <c r="E49" s="62" t="s">
        <v>86</v>
      </c>
      <c r="F49" s="46">
        <v>0</v>
      </c>
      <c r="G49" s="46">
        <v>0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63">
        <v>0</v>
      </c>
      <c r="Q49" s="63">
        <v>0</v>
      </c>
      <c r="R49" s="39">
        <f t="shared" si="6"/>
        <v>0</v>
      </c>
      <c r="S49" s="40">
        <f t="shared" si="7"/>
        <v>0</v>
      </c>
      <c r="T49" s="64"/>
    </row>
    <row r="50" spans="1:20" ht="19.5" customHeight="1" outlineLevel="1" x14ac:dyDescent="0.2">
      <c r="A50" s="42"/>
      <c r="B50" s="242"/>
      <c r="C50" s="43"/>
      <c r="D50" s="61"/>
      <c r="E50" s="62" t="s">
        <v>87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63">
        <v>0</v>
      </c>
      <c r="Q50" s="63">
        <v>0</v>
      </c>
      <c r="R50" s="39">
        <f t="shared" si="6"/>
        <v>0</v>
      </c>
      <c r="S50" s="40">
        <f t="shared" si="7"/>
        <v>0</v>
      </c>
      <c r="T50" s="64"/>
    </row>
    <row r="51" spans="1:20" ht="25.5" outlineLevel="1" x14ac:dyDescent="0.2">
      <c r="A51" s="42"/>
      <c r="B51" s="242"/>
      <c r="C51" s="43"/>
      <c r="D51" s="61"/>
      <c r="E51" s="62" t="s">
        <v>88</v>
      </c>
      <c r="F51" s="46">
        <v>0</v>
      </c>
      <c r="G51" s="46">
        <v>0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  <c r="M51" s="46">
        <v>0</v>
      </c>
      <c r="N51" s="46">
        <v>0</v>
      </c>
      <c r="O51" s="46">
        <v>0</v>
      </c>
      <c r="P51" s="63">
        <v>0</v>
      </c>
      <c r="Q51" s="63">
        <v>0</v>
      </c>
      <c r="R51" s="39">
        <f t="shared" si="6"/>
        <v>0</v>
      </c>
      <c r="S51" s="40">
        <f t="shared" si="7"/>
        <v>0</v>
      </c>
      <c r="T51" s="64"/>
    </row>
    <row r="52" spans="1:20" ht="19.5" customHeight="1" outlineLevel="1" x14ac:dyDescent="0.2">
      <c r="A52" s="42"/>
      <c r="B52" s="242"/>
      <c r="C52" s="43"/>
      <c r="D52" s="61"/>
      <c r="E52" s="62" t="s">
        <v>89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  <c r="N52" s="46">
        <v>0</v>
      </c>
      <c r="O52" s="46">
        <v>0</v>
      </c>
      <c r="P52" s="63">
        <v>0</v>
      </c>
      <c r="Q52" s="63">
        <v>0</v>
      </c>
      <c r="R52" s="39">
        <f t="shared" si="6"/>
        <v>0</v>
      </c>
      <c r="S52" s="40">
        <f t="shared" si="7"/>
        <v>0</v>
      </c>
      <c r="T52" s="64"/>
    </row>
    <row r="53" spans="1:20" ht="19.5" customHeight="1" outlineLevel="1" x14ac:dyDescent="0.2">
      <c r="A53" s="42"/>
      <c r="B53" s="242"/>
      <c r="C53" s="43"/>
      <c r="D53" s="61"/>
      <c r="E53" s="62" t="s">
        <v>90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  <c r="M53" s="46">
        <v>0</v>
      </c>
      <c r="N53" s="46">
        <v>0</v>
      </c>
      <c r="O53" s="46">
        <v>0</v>
      </c>
      <c r="P53" s="63">
        <v>0</v>
      </c>
      <c r="Q53" s="63">
        <v>0</v>
      </c>
      <c r="R53" s="39">
        <f t="shared" si="6"/>
        <v>0</v>
      </c>
      <c r="S53" s="40">
        <f t="shared" si="7"/>
        <v>0</v>
      </c>
      <c r="T53" s="64"/>
    </row>
    <row r="54" spans="1:20" ht="25.5" outlineLevel="1" x14ac:dyDescent="0.2">
      <c r="A54" s="42"/>
      <c r="B54" s="242"/>
      <c r="C54" s="43"/>
      <c r="D54" s="61"/>
      <c r="E54" s="62" t="s">
        <v>91</v>
      </c>
      <c r="F54" s="46">
        <v>0</v>
      </c>
      <c r="G54" s="46">
        <v>0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63">
        <v>0</v>
      </c>
      <c r="Q54" s="63">
        <v>0</v>
      </c>
      <c r="R54" s="39">
        <f t="shared" si="6"/>
        <v>0</v>
      </c>
      <c r="S54" s="40">
        <f t="shared" si="7"/>
        <v>0</v>
      </c>
      <c r="T54" s="64"/>
    </row>
    <row r="55" spans="1:20" ht="19.5" customHeight="1" outlineLevel="1" x14ac:dyDescent="0.2">
      <c r="A55" s="42"/>
      <c r="B55" s="242"/>
      <c r="C55" s="43"/>
      <c r="D55" s="61"/>
      <c r="E55" s="62" t="s">
        <v>92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  <c r="M55" s="46">
        <v>0</v>
      </c>
      <c r="N55" s="46">
        <v>0</v>
      </c>
      <c r="O55" s="46">
        <v>0</v>
      </c>
      <c r="P55" s="63">
        <v>0</v>
      </c>
      <c r="Q55" s="63">
        <v>0</v>
      </c>
      <c r="R55" s="39">
        <f t="shared" si="6"/>
        <v>0</v>
      </c>
      <c r="S55" s="40">
        <f t="shared" si="7"/>
        <v>0</v>
      </c>
      <c r="T55" s="64"/>
    </row>
    <row r="56" spans="1:20" ht="19.5" customHeight="1" outlineLevel="1" x14ac:dyDescent="0.2">
      <c r="A56" s="42"/>
      <c r="B56" s="242"/>
      <c r="C56" s="43"/>
      <c r="D56" s="61"/>
      <c r="E56" s="62" t="s">
        <v>93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v>0</v>
      </c>
      <c r="O56" s="46">
        <v>0</v>
      </c>
      <c r="P56" s="63">
        <v>0</v>
      </c>
      <c r="Q56" s="63">
        <v>0</v>
      </c>
      <c r="R56" s="39">
        <f t="shared" si="6"/>
        <v>0</v>
      </c>
      <c r="S56" s="40">
        <f t="shared" si="7"/>
        <v>0</v>
      </c>
      <c r="T56" s="64"/>
    </row>
    <row r="57" spans="1:20" ht="19.5" customHeight="1" outlineLevel="1" x14ac:dyDescent="0.2">
      <c r="A57" s="42"/>
      <c r="B57" s="242"/>
      <c r="C57" s="43"/>
      <c r="D57" s="61"/>
      <c r="E57" s="62" t="s">
        <v>94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  <c r="M57" s="46">
        <v>0</v>
      </c>
      <c r="N57" s="46">
        <v>0</v>
      </c>
      <c r="O57" s="46">
        <v>0</v>
      </c>
      <c r="P57" s="63">
        <v>0</v>
      </c>
      <c r="Q57" s="63">
        <v>0</v>
      </c>
      <c r="R57" s="72">
        <f t="shared" si="6"/>
        <v>0</v>
      </c>
      <c r="S57" s="40">
        <f t="shared" si="7"/>
        <v>0</v>
      </c>
      <c r="T57" s="64"/>
    </row>
    <row r="58" spans="1:20" ht="19.5" customHeight="1" outlineLevel="1" x14ac:dyDescent="0.2">
      <c r="A58" s="42"/>
      <c r="B58" s="242"/>
      <c r="C58" s="43"/>
      <c r="D58" s="61"/>
      <c r="E58" s="62" t="s">
        <v>95</v>
      </c>
      <c r="F58" s="46">
        <v>0</v>
      </c>
      <c r="G58" s="46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63">
        <v>0</v>
      </c>
      <c r="Q58" s="63">
        <v>0</v>
      </c>
      <c r="R58" s="72">
        <f t="shared" si="6"/>
        <v>0</v>
      </c>
      <c r="S58" s="40">
        <f t="shared" si="7"/>
        <v>0</v>
      </c>
      <c r="T58" s="64"/>
    </row>
    <row r="59" spans="1:20" ht="19.5" customHeight="1" outlineLevel="1" x14ac:dyDescent="0.2">
      <c r="A59" s="42"/>
      <c r="B59" s="242"/>
      <c r="C59" s="43"/>
      <c r="D59" s="61"/>
      <c r="E59" s="62" t="s">
        <v>96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46">
        <v>0</v>
      </c>
      <c r="P59" s="63">
        <v>0</v>
      </c>
      <c r="Q59" s="63">
        <v>0</v>
      </c>
      <c r="R59" s="72">
        <f t="shared" si="6"/>
        <v>0</v>
      </c>
      <c r="S59" s="40">
        <f t="shared" si="7"/>
        <v>0</v>
      </c>
      <c r="T59" s="64"/>
    </row>
    <row r="60" spans="1:20" ht="19.5" customHeight="1" outlineLevel="1" x14ac:dyDescent="0.2">
      <c r="A60" s="42"/>
      <c r="B60" s="242"/>
      <c r="C60" s="43"/>
      <c r="D60" s="61"/>
      <c r="E60" s="62" t="s">
        <v>97</v>
      </c>
      <c r="F60" s="46">
        <v>0</v>
      </c>
      <c r="G60" s="46">
        <v>0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  <c r="M60" s="46">
        <v>0</v>
      </c>
      <c r="N60" s="46">
        <v>0</v>
      </c>
      <c r="O60" s="46">
        <v>0</v>
      </c>
      <c r="P60" s="63">
        <v>0</v>
      </c>
      <c r="Q60" s="63">
        <v>0</v>
      </c>
      <c r="R60" s="72">
        <f t="shared" si="6"/>
        <v>0</v>
      </c>
      <c r="S60" s="40">
        <f t="shared" si="7"/>
        <v>0</v>
      </c>
      <c r="T60" s="64"/>
    </row>
    <row r="61" spans="1:20" ht="19.5" customHeight="1" outlineLevel="1" x14ac:dyDescent="0.2">
      <c r="A61" s="42"/>
      <c r="B61" s="242"/>
      <c r="C61" s="43"/>
      <c r="D61" s="61"/>
      <c r="E61" s="62" t="s">
        <v>98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v>0</v>
      </c>
      <c r="O61" s="46">
        <v>0</v>
      </c>
      <c r="P61" s="63">
        <v>0</v>
      </c>
      <c r="Q61" s="63">
        <v>0</v>
      </c>
      <c r="R61" s="72">
        <f t="shared" si="6"/>
        <v>0</v>
      </c>
      <c r="S61" s="40">
        <f t="shared" si="7"/>
        <v>0</v>
      </c>
      <c r="T61" s="64"/>
    </row>
    <row r="62" spans="1:20" ht="19.5" customHeight="1" outlineLevel="1" x14ac:dyDescent="0.2">
      <c r="A62" s="42"/>
      <c r="B62" s="242"/>
      <c r="C62" s="43"/>
      <c r="D62" s="61"/>
      <c r="E62" s="62" t="s">
        <v>99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v>0</v>
      </c>
      <c r="O62" s="46">
        <v>0</v>
      </c>
      <c r="P62" s="63">
        <v>0</v>
      </c>
      <c r="Q62" s="63">
        <v>0</v>
      </c>
      <c r="R62" s="72">
        <f t="shared" si="6"/>
        <v>0</v>
      </c>
      <c r="S62" s="40">
        <f t="shared" si="7"/>
        <v>0</v>
      </c>
      <c r="T62" s="64"/>
    </row>
    <row r="63" spans="1:20" ht="25.5" outlineLevel="1" x14ac:dyDescent="0.2">
      <c r="A63" s="42"/>
      <c r="B63" s="242"/>
      <c r="C63" s="43"/>
      <c r="D63" s="61"/>
      <c r="E63" s="62" t="s">
        <v>100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  <c r="M63" s="46">
        <v>0</v>
      </c>
      <c r="N63" s="46">
        <v>0</v>
      </c>
      <c r="O63" s="46">
        <v>0</v>
      </c>
      <c r="P63" s="63">
        <v>0</v>
      </c>
      <c r="Q63" s="63">
        <v>0</v>
      </c>
      <c r="R63" s="72">
        <f t="shared" si="6"/>
        <v>0</v>
      </c>
      <c r="S63" s="40">
        <f t="shared" si="7"/>
        <v>0</v>
      </c>
      <c r="T63" s="64"/>
    </row>
    <row r="64" spans="1:20" ht="19.5" customHeight="1" outlineLevel="1" x14ac:dyDescent="0.2">
      <c r="A64" s="42"/>
      <c r="B64" s="242"/>
      <c r="C64" s="43"/>
      <c r="D64" s="61"/>
      <c r="E64" s="62" t="s">
        <v>101</v>
      </c>
      <c r="F64" s="46">
        <v>0</v>
      </c>
      <c r="G64" s="46">
        <v>0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  <c r="M64" s="46">
        <v>0</v>
      </c>
      <c r="N64" s="46">
        <v>0</v>
      </c>
      <c r="O64" s="46">
        <v>0</v>
      </c>
      <c r="P64" s="63">
        <v>0</v>
      </c>
      <c r="Q64" s="63">
        <v>0</v>
      </c>
      <c r="R64" s="72">
        <f t="shared" si="6"/>
        <v>0</v>
      </c>
      <c r="S64" s="40">
        <f t="shared" si="7"/>
        <v>0</v>
      </c>
      <c r="T64" s="64"/>
    </row>
    <row r="65" spans="1:20" ht="19.5" customHeight="1" outlineLevel="1" x14ac:dyDescent="0.2">
      <c r="A65" s="42"/>
      <c r="B65" s="242"/>
      <c r="C65" s="43"/>
      <c r="D65" s="61"/>
      <c r="E65" s="62" t="s">
        <v>102</v>
      </c>
      <c r="F65" s="46">
        <v>0</v>
      </c>
      <c r="G65" s="46">
        <v>0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  <c r="M65" s="46">
        <v>0</v>
      </c>
      <c r="N65" s="46">
        <v>0</v>
      </c>
      <c r="O65" s="46">
        <v>0</v>
      </c>
      <c r="P65" s="63">
        <v>0</v>
      </c>
      <c r="Q65" s="63">
        <v>0</v>
      </c>
      <c r="R65" s="72">
        <f t="shared" si="6"/>
        <v>0</v>
      </c>
      <c r="S65" s="40">
        <f t="shared" si="7"/>
        <v>0</v>
      </c>
      <c r="T65" s="64"/>
    </row>
    <row r="66" spans="1:20" ht="19.5" customHeight="1" outlineLevel="1" x14ac:dyDescent="0.2">
      <c r="A66" s="42"/>
      <c r="B66" s="242"/>
      <c r="C66" s="43"/>
      <c r="D66" s="61"/>
      <c r="E66" s="67" t="s">
        <v>103</v>
      </c>
      <c r="F66" s="46">
        <v>0</v>
      </c>
      <c r="G66" s="46">
        <v>0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  <c r="M66" s="46">
        <v>0</v>
      </c>
      <c r="N66" s="46">
        <v>0</v>
      </c>
      <c r="O66" s="46">
        <v>0</v>
      </c>
      <c r="P66" s="68">
        <v>0</v>
      </c>
      <c r="Q66" s="68">
        <v>0</v>
      </c>
      <c r="R66" s="72">
        <f t="shared" ref="R66:R68" si="8">SUM(F66:Q66)</f>
        <v>0</v>
      </c>
      <c r="S66" s="40">
        <f t="shared" si="7"/>
        <v>0</v>
      </c>
      <c r="T66" s="69"/>
    </row>
    <row r="67" spans="1:20" ht="19.5" customHeight="1" outlineLevel="1" x14ac:dyDescent="0.2">
      <c r="A67" s="42"/>
      <c r="B67" s="242"/>
      <c r="C67" s="43"/>
      <c r="D67" s="61"/>
      <c r="E67" s="67" t="s">
        <v>104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  <c r="M67" s="46">
        <v>0</v>
      </c>
      <c r="N67" s="46">
        <v>0</v>
      </c>
      <c r="O67" s="46">
        <v>0</v>
      </c>
      <c r="P67" s="68">
        <v>0</v>
      </c>
      <c r="Q67" s="68">
        <v>0</v>
      </c>
      <c r="R67" s="72">
        <f t="shared" si="8"/>
        <v>0</v>
      </c>
      <c r="S67" s="40">
        <f t="shared" si="7"/>
        <v>0</v>
      </c>
      <c r="T67" s="69"/>
    </row>
    <row r="68" spans="1:20" ht="19.5" customHeight="1" outlineLevel="1" x14ac:dyDescent="0.2">
      <c r="A68" s="42"/>
      <c r="B68" s="242"/>
      <c r="C68" s="43"/>
      <c r="D68" s="61"/>
      <c r="E68" s="67" t="s">
        <v>105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v>0</v>
      </c>
      <c r="O68" s="46">
        <v>0</v>
      </c>
      <c r="P68" s="68">
        <v>0</v>
      </c>
      <c r="Q68" s="68">
        <v>0</v>
      </c>
      <c r="R68" s="72">
        <f t="shared" si="8"/>
        <v>0</v>
      </c>
      <c r="S68" s="40">
        <f t="shared" si="7"/>
        <v>0</v>
      </c>
      <c r="T68" s="69"/>
    </row>
    <row r="69" spans="1:20" ht="19.5" customHeight="1" x14ac:dyDescent="0.2">
      <c r="A69" s="42"/>
      <c r="B69" s="242"/>
      <c r="C69" s="43"/>
      <c r="D69" s="70"/>
      <c r="E69" s="58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72"/>
      <c r="S69" s="55"/>
      <c r="T69" s="56"/>
    </row>
    <row r="70" spans="1:20" ht="19.5" customHeight="1" x14ac:dyDescent="0.2">
      <c r="A70" s="42"/>
      <c r="B70" s="242"/>
      <c r="C70" s="43"/>
      <c r="D70" s="57"/>
      <c r="E70" s="73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2"/>
      <c r="S70" s="75"/>
      <c r="T70" s="59"/>
    </row>
    <row r="71" spans="1:20" s="111" customFormat="1" ht="38.25" customHeight="1" x14ac:dyDescent="0.2">
      <c r="A71" s="42"/>
      <c r="B71" s="243" t="s">
        <v>106</v>
      </c>
      <c r="C71" s="43"/>
      <c r="D71" s="60"/>
      <c r="E71" s="38" t="s">
        <v>45</v>
      </c>
      <c r="F71" s="146">
        <f>SUM(F72:F75)</f>
        <v>0</v>
      </c>
      <c r="G71" s="146">
        <f t="shared" ref="G71:Q71" si="9">SUM(G72:G75)</f>
        <v>0</v>
      </c>
      <c r="H71" s="146">
        <f t="shared" si="9"/>
        <v>0</v>
      </c>
      <c r="I71" s="146">
        <f t="shared" si="9"/>
        <v>0</v>
      </c>
      <c r="J71" s="146">
        <f t="shared" si="9"/>
        <v>0</v>
      </c>
      <c r="K71" s="146">
        <f t="shared" si="9"/>
        <v>0</v>
      </c>
      <c r="L71" s="146">
        <f t="shared" si="9"/>
        <v>0</v>
      </c>
      <c r="M71" s="146">
        <f t="shared" si="9"/>
        <v>0</v>
      </c>
      <c r="N71" s="146">
        <f t="shared" si="9"/>
        <v>0</v>
      </c>
      <c r="O71" s="146">
        <f t="shared" si="9"/>
        <v>0</v>
      </c>
      <c r="P71" s="146">
        <f t="shared" si="9"/>
        <v>0</v>
      </c>
      <c r="Q71" s="146">
        <f t="shared" si="9"/>
        <v>0</v>
      </c>
      <c r="R71" s="72">
        <f>SUM(F71:Q71)</f>
        <v>0</v>
      </c>
      <c r="S71" s="147">
        <f>IFERROR(AVERAGE(F71:Q71), "Rp0")</f>
        <v>0</v>
      </c>
      <c r="T71" s="71"/>
    </row>
    <row r="72" spans="1:20" ht="19.5" customHeight="1" outlineLevel="1" x14ac:dyDescent="0.2">
      <c r="A72" s="42"/>
      <c r="B72" s="242"/>
      <c r="C72" s="43"/>
      <c r="D72" s="44"/>
      <c r="E72" s="45" t="s">
        <v>107</v>
      </c>
      <c r="F72" s="46">
        <v>0</v>
      </c>
      <c r="G72" s="46">
        <v>0</v>
      </c>
      <c r="H72" s="46">
        <v>0</v>
      </c>
      <c r="I72" s="46">
        <v>0</v>
      </c>
      <c r="J72" s="46">
        <v>0</v>
      </c>
      <c r="K72" s="46">
        <v>0</v>
      </c>
      <c r="L72" s="46">
        <v>0</v>
      </c>
      <c r="M72" s="46">
        <v>0</v>
      </c>
      <c r="N72" s="46">
        <v>0</v>
      </c>
      <c r="O72" s="46">
        <v>0</v>
      </c>
      <c r="P72" s="46">
        <v>0</v>
      </c>
      <c r="Q72" s="46">
        <v>0</v>
      </c>
      <c r="R72" s="72">
        <f>SUM(F72:Q72)</f>
        <v>0</v>
      </c>
      <c r="S72" s="147">
        <f t="shared" ref="S72:S75" si="10">IFERROR(AVERAGE(F72:Q72), "Rp0")</f>
        <v>0</v>
      </c>
      <c r="T72" s="47"/>
    </row>
    <row r="73" spans="1:20" ht="19.5" customHeight="1" outlineLevel="1" x14ac:dyDescent="0.2">
      <c r="A73" s="42"/>
      <c r="B73" s="242"/>
      <c r="C73" s="43"/>
      <c r="D73" s="61"/>
      <c r="E73" s="67" t="s">
        <v>108</v>
      </c>
      <c r="F73" s="68">
        <v>0</v>
      </c>
      <c r="G73" s="68">
        <v>0</v>
      </c>
      <c r="H73" s="68">
        <v>0</v>
      </c>
      <c r="I73" s="68">
        <v>0</v>
      </c>
      <c r="J73" s="68">
        <v>0</v>
      </c>
      <c r="K73" s="68">
        <v>0</v>
      </c>
      <c r="L73" s="68">
        <v>0</v>
      </c>
      <c r="M73" s="68">
        <v>0</v>
      </c>
      <c r="N73" s="46">
        <v>0</v>
      </c>
      <c r="O73" s="46">
        <v>0</v>
      </c>
      <c r="P73" s="68">
        <v>0</v>
      </c>
      <c r="Q73" s="46">
        <v>0</v>
      </c>
      <c r="R73" s="72">
        <f>SUM(F73:Q73)</f>
        <v>0</v>
      </c>
      <c r="S73" s="147">
        <f t="shared" si="10"/>
        <v>0</v>
      </c>
      <c r="T73" s="69"/>
    </row>
    <row r="74" spans="1:20" ht="19.5" customHeight="1" outlineLevel="1" x14ac:dyDescent="0.2">
      <c r="A74" s="42"/>
      <c r="B74" s="242"/>
      <c r="C74" s="43"/>
      <c r="D74" s="61"/>
      <c r="E74" s="67" t="s">
        <v>109</v>
      </c>
      <c r="F74" s="68">
        <v>0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46">
        <v>0</v>
      </c>
      <c r="O74" s="46">
        <v>0</v>
      </c>
      <c r="P74" s="68">
        <v>0</v>
      </c>
      <c r="Q74" s="68">
        <v>0</v>
      </c>
      <c r="R74" s="72">
        <f>SUM(F74:Q74)</f>
        <v>0</v>
      </c>
      <c r="S74" s="147">
        <f t="shared" si="10"/>
        <v>0</v>
      </c>
      <c r="T74" s="69"/>
    </row>
    <row r="75" spans="1:20" ht="19.5" customHeight="1" outlineLevel="1" x14ac:dyDescent="0.2">
      <c r="A75" s="42"/>
      <c r="B75" s="242"/>
      <c r="C75" s="43"/>
      <c r="D75" s="61"/>
      <c r="E75" s="67" t="s">
        <v>110</v>
      </c>
      <c r="F75" s="68">
        <v>0</v>
      </c>
      <c r="G75" s="68">
        <v>0</v>
      </c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8">
        <v>0</v>
      </c>
      <c r="N75" s="46">
        <v>0</v>
      </c>
      <c r="O75" s="46">
        <v>0</v>
      </c>
      <c r="P75" s="68">
        <v>0</v>
      </c>
      <c r="Q75" s="68">
        <v>0</v>
      </c>
      <c r="R75" s="72">
        <v>0</v>
      </c>
      <c r="S75" s="147">
        <f t="shared" si="10"/>
        <v>0</v>
      </c>
      <c r="T75" s="69"/>
    </row>
    <row r="76" spans="1:20" ht="19.5" customHeight="1" x14ac:dyDescent="0.2">
      <c r="A76" s="42"/>
      <c r="B76" s="242"/>
      <c r="C76" s="43"/>
      <c r="D76" s="61"/>
      <c r="E76" s="58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72"/>
      <c r="S76" s="55"/>
      <c r="T76" s="76"/>
    </row>
    <row r="77" spans="1:20" ht="19.5" customHeight="1" x14ac:dyDescent="0.2">
      <c r="A77" s="42"/>
      <c r="B77" s="242"/>
      <c r="C77" s="43"/>
      <c r="D77" s="77"/>
      <c r="E77" s="78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2"/>
      <c r="S77" s="80"/>
      <c r="T77" s="81"/>
    </row>
    <row r="78" spans="1:20" ht="19.5" customHeight="1" x14ac:dyDescent="0.2">
      <c r="A78" s="42"/>
      <c r="B78" s="242"/>
      <c r="C78" s="43"/>
      <c r="D78" s="77"/>
      <c r="E78" s="78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2"/>
      <c r="S78" s="80"/>
      <c r="T78" s="81"/>
    </row>
    <row r="79" spans="1:20" s="111" customFormat="1" ht="38.25" customHeight="1" x14ac:dyDescent="0.2">
      <c r="A79" s="42"/>
      <c r="B79" s="243" t="s">
        <v>111</v>
      </c>
      <c r="C79" s="43"/>
      <c r="D79" s="82"/>
      <c r="E79" s="38" t="s">
        <v>45</v>
      </c>
      <c r="F79" s="238">
        <f>SUM(F80:F81)</f>
        <v>0</v>
      </c>
      <c r="G79" s="238">
        <f t="shared" ref="G79:P79" si="11">SUM(G80:G81)</f>
        <v>0</v>
      </c>
      <c r="H79" s="238">
        <f t="shared" si="11"/>
        <v>0</v>
      </c>
      <c r="I79" s="238">
        <f t="shared" si="11"/>
        <v>0</v>
      </c>
      <c r="J79" s="238">
        <f t="shared" si="11"/>
        <v>0</v>
      </c>
      <c r="K79" s="238">
        <f t="shared" si="11"/>
        <v>0</v>
      </c>
      <c r="L79" s="238">
        <f t="shared" si="11"/>
        <v>0</v>
      </c>
      <c r="M79" s="238">
        <f t="shared" si="11"/>
        <v>0</v>
      </c>
      <c r="N79" s="238">
        <f t="shared" si="11"/>
        <v>0</v>
      </c>
      <c r="O79" s="238">
        <f t="shared" si="11"/>
        <v>0</v>
      </c>
      <c r="P79" s="238">
        <f t="shared" si="11"/>
        <v>0</v>
      </c>
      <c r="Q79" s="238">
        <f t="shared" ref="Q79" si="12">SUM(Q80:Q81)</f>
        <v>0</v>
      </c>
      <c r="R79" s="72">
        <f>SUM(F79:Q79)</f>
        <v>0</v>
      </c>
      <c r="S79" s="147">
        <f>IFERROR(AVERAGE(F79:Q79), "Rp0")</f>
        <v>0</v>
      </c>
      <c r="T79" s="84"/>
    </row>
    <row r="80" spans="1:20" ht="19.5" customHeight="1" outlineLevel="1" x14ac:dyDescent="0.2">
      <c r="A80" s="42"/>
      <c r="B80" s="242"/>
      <c r="C80" s="43"/>
      <c r="D80" s="85"/>
      <c r="E80" s="45" t="s">
        <v>112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/>
      <c r="O80" s="46">
        <v>0</v>
      </c>
      <c r="P80" s="46">
        <v>0</v>
      </c>
      <c r="Q80" s="46">
        <v>0</v>
      </c>
      <c r="R80" s="72">
        <f>SUM(F80:Q80)</f>
        <v>0</v>
      </c>
      <c r="S80" s="147">
        <f>IFERROR(AVERAGE(F80:Q80), "Rp0")</f>
        <v>0</v>
      </c>
      <c r="T80" s="47"/>
    </row>
    <row r="81" spans="1:20" ht="19.5" customHeight="1" x14ac:dyDescent="0.2">
      <c r="A81" s="42"/>
      <c r="B81" s="242"/>
      <c r="C81" s="43"/>
      <c r="D81" s="48"/>
      <c r="E81" s="49" t="s">
        <v>113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0</v>
      </c>
      <c r="L81" s="46">
        <v>0</v>
      </c>
      <c r="M81" s="46">
        <v>0</v>
      </c>
      <c r="N81" s="46"/>
      <c r="O81" s="46">
        <v>0</v>
      </c>
      <c r="P81" s="46">
        <v>0</v>
      </c>
      <c r="Q81" s="46">
        <v>0</v>
      </c>
      <c r="R81" s="72">
        <f>SUM(F81:Q81)</f>
        <v>0</v>
      </c>
      <c r="S81" s="147">
        <f>IFERROR(AVERAGE(F81:Q81), "Rp0")</f>
        <v>0</v>
      </c>
      <c r="T81" s="51"/>
    </row>
    <row r="82" spans="1:20" ht="19.5" customHeight="1" x14ac:dyDescent="0.2">
      <c r="A82" s="42"/>
      <c r="B82" s="242"/>
      <c r="C82" s="43"/>
      <c r="D82" s="61"/>
      <c r="E82" s="73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2"/>
      <c r="S82" s="75"/>
      <c r="T82" s="51"/>
    </row>
    <row r="83" spans="1:20" ht="19.5" customHeight="1" x14ac:dyDescent="0.2">
      <c r="A83" s="42"/>
      <c r="B83" s="242"/>
      <c r="C83" s="43"/>
      <c r="D83" s="77"/>
      <c r="E83" s="78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2"/>
      <c r="S83" s="80"/>
      <c r="T83" s="81"/>
    </row>
    <row r="84" spans="1:20" s="111" customFormat="1" ht="38.25" customHeight="1" x14ac:dyDescent="0.2">
      <c r="A84" s="42"/>
      <c r="B84" s="243" t="s">
        <v>114</v>
      </c>
      <c r="C84" s="43"/>
      <c r="D84" s="82"/>
      <c r="E84" s="38" t="s">
        <v>45</v>
      </c>
      <c r="F84" s="238">
        <f t="shared" ref="F84:Q84" si="13">SUM(F85:F87)</f>
        <v>0</v>
      </c>
      <c r="G84" s="238">
        <f t="shared" si="13"/>
        <v>0</v>
      </c>
      <c r="H84" s="238">
        <f t="shared" si="13"/>
        <v>0</v>
      </c>
      <c r="I84" s="238">
        <f t="shared" si="13"/>
        <v>0</v>
      </c>
      <c r="J84" s="238">
        <f t="shared" si="13"/>
        <v>0</v>
      </c>
      <c r="K84" s="238">
        <f t="shared" si="13"/>
        <v>0</v>
      </c>
      <c r="L84" s="238">
        <f t="shared" si="13"/>
        <v>0</v>
      </c>
      <c r="M84" s="238">
        <f t="shared" si="13"/>
        <v>0</v>
      </c>
      <c r="N84" s="238">
        <f t="shared" si="13"/>
        <v>0</v>
      </c>
      <c r="O84" s="238">
        <f t="shared" si="13"/>
        <v>0</v>
      </c>
      <c r="P84" s="238">
        <f t="shared" si="13"/>
        <v>0</v>
      </c>
      <c r="Q84" s="238">
        <f t="shared" si="13"/>
        <v>0</v>
      </c>
      <c r="R84" s="72">
        <f>SUM(F84:Q84)</f>
        <v>0</v>
      </c>
      <c r="S84" s="147">
        <f>IFERROR(AVERAGE(F84:Q84), "Rp0")</f>
        <v>0</v>
      </c>
      <c r="T84" s="84"/>
    </row>
    <row r="85" spans="1:20" ht="19.5" customHeight="1" outlineLevel="1" x14ac:dyDescent="0.2">
      <c r="A85" s="42"/>
      <c r="B85" s="242"/>
      <c r="C85" s="43"/>
      <c r="D85" s="44"/>
      <c r="E85" s="86" t="s">
        <v>115</v>
      </c>
      <c r="F85" s="46">
        <v>0</v>
      </c>
      <c r="G85" s="46">
        <v>0</v>
      </c>
      <c r="H85" s="46">
        <v>0</v>
      </c>
      <c r="I85" s="46">
        <v>0</v>
      </c>
      <c r="J85" s="46">
        <v>0</v>
      </c>
      <c r="K85" s="46">
        <v>0</v>
      </c>
      <c r="L85" s="46">
        <v>0</v>
      </c>
      <c r="M85" s="46">
        <v>0</v>
      </c>
      <c r="N85" s="46"/>
      <c r="O85" s="46">
        <v>0</v>
      </c>
      <c r="P85" s="46">
        <v>0</v>
      </c>
      <c r="Q85" s="46">
        <v>0</v>
      </c>
      <c r="R85" s="72">
        <f>SUM(F85:Q85)</f>
        <v>0</v>
      </c>
      <c r="S85" s="147">
        <f t="shared" ref="S85:S87" si="14">IFERROR(AVERAGE(F85:Q85), "Rp0")</f>
        <v>0</v>
      </c>
      <c r="T85" s="47"/>
    </row>
    <row r="86" spans="1:20" ht="19.5" customHeight="1" outlineLevel="1" x14ac:dyDescent="0.2">
      <c r="A86" s="42"/>
      <c r="B86" s="242"/>
      <c r="C86" s="43"/>
      <c r="D86" s="61"/>
      <c r="E86" s="87" t="s">
        <v>116</v>
      </c>
      <c r="F86" s="68">
        <v>0</v>
      </c>
      <c r="G86" s="68">
        <v>0</v>
      </c>
      <c r="H86" s="46">
        <v>0</v>
      </c>
      <c r="I86" s="46">
        <v>0</v>
      </c>
      <c r="J86" s="46">
        <v>0</v>
      </c>
      <c r="K86" s="68">
        <v>0</v>
      </c>
      <c r="L86" s="68">
        <v>0</v>
      </c>
      <c r="M86" s="68">
        <v>0</v>
      </c>
      <c r="N86" s="68"/>
      <c r="O86" s="68">
        <v>0</v>
      </c>
      <c r="P86" s="68">
        <v>0</v>
      </c>
      <c r="Q86" s="68">
        <v>0</v>
      </c>
      <c r="R86" s="72">
        <f>SUM(F86:Q86)</f>
        <v>0</v>
      </c>
      <c r="S86" s="147">
        <f t="shared" si="14"/>
        <v>0</v>
      </c>
      <c r="T86" s="69"/>
    </row>
    <row r="87" spans="1:20" ht="19.5" customHeight="1" outlineLevel="1" x14ac:dyDescent="0.2">
      <c r="A87" s="42"/>
      <c r="B87" s="242"/>
      <c r="C87" s="43"/>
      <c r="D87" s="61"/>
      <c r="E87" s="87" t="s">
        <v>117</v>
      </c>
      <c r="F87" s="68">
        <v>0</v>
      </c>
      <c r="G87" s="68">
        <v>0</v>
      </c>
      <c r="H87" s="46">
        <v>0</v>
      </c>
      <c r="I87" s="46">
        <v>0</v>
      </c>
      <c r="J87" s="46">
        <v>0</v>
      </c>
      <c r="K87" s="68">
        <v>0</v>
      </c>
      <c r="L87" s="68">
        <v>0</v>
      </c>
      <c r="M87" s="68">
        <v>0</v>
      </c>
      <c r="N87" s="68"/>
      <c r="O87" s="68">
        <v>0</v>
      </c>
      <c r="P87" s="68">
        <v>0</v>
      </c>
      <c r="Q87" s="68">
        <v>0</v>
      </c>
      <c r="R87" s="72">
        <f>SUM(F87:Q87)</f>
        <v>0</v>
      </c>
      <c r="S87" s="147">
        <f t="shared" si="14"/>
        <v>0</v>
      </c>
      <c r="T87" s="69"/>
    </row>
    <row r="88" spans="1:20" ht="19.5" customHeight="1" x14ac:dyDescent="0.2">
      <c r="A88" s="42"/>
      <c r="B88" s="242"/>
      <c r="C88" s="43"/>
      <c r="D88" s="88"/>
      <c r="E88" s="58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72"/>
      <c r="S88" s="55"/>
      <c r="T88" s="76"/>
    </row>
    <row r="89" spans="1:20" ht="39" customHeight="1" x14ac:dyDescent="0.2">
      <c r="A89" s="42"/>
      <c r="B89" s="242" t="s">
        <v>118</v>
      </c>
      <c r="C89" s="43"/>
      <c r="D89" s="82"/>
      <c r="E89" s="38" t="s">
        <v>45</v>
      </c>
      <c r="F89" s="83">
        <f>SUM(F90:F92)</f>
        <v>0</v>
      </c>
      <c r="G89" s="83">
        <f>SUM(G90:G92)</f>
        <v>0</v>
      </c>
      <c r="H89" s="83">
        <f t="shared" ref="H89:Q89" si="15">SUM(H90:H92)</f>
        <v>0</v>
      </c>
      <c r="I89" s="83">
        <f t="shared" si="15"/>
        <v>0</v>
      </c>
      <c r="J89" s="83">
        <f t="shared" si="15"/>
        <v>0</v>
      </c>
      <c r="K89" s="83">
        <f t="shared" si="15"/>
        <v>0</v>
      </c>
      <c r="L89" s="83">
        <f t="shared" si="15"/>
        <v>0</v>
      </c>
      <c r="M89" s="83">
        <f t="shared" si="15"/>
        <v>0</v>
      </c>
      <c r="N89" s="83">
        <f t="shared" si="15"/>
        <v>0</v>
      </c>
      <c r="O89" s="83">
        <f t="shared" si="15"/>
        <v>0</v>
      </c>
      <c r="P89" s="83">
        <f t="shared" si="15"/>
        <v>0</v>
      </c>
      <c r="Q89" s="83">
        <f t="shared" si="15"/>
        <v>0</v>
      </c>
      <c r="R89" s="72">
        <f>SUM(F89:Q89)</f>
        <v>0</v>
      </c>
      <c r="S89" s="40">
        <f>IFERROR(AVERAGE(F89:Q89), "Rp0")</f>
        <v>0</v>
      </c>
      <c r="T89" s="84"/>
    </row>
    <row r="90" spans="1:20" ht="30.75" customHeight="1" outlineLevel="1" x14ac:dyDescent="0.2">
      <c r="A90" s="42"/>
      <c r="B90" s="242"/>
      <c r="C90" s="43"/>
      <c r="D90" s="88"/>
      <c r="E90" s="89" t="s">
        <v>119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68">
        <v>0</v>
      </c>
      <c r="M90" s="68">
        <v>0</v>
      </c>
      <c r="N90" s="68"/>
      <c r="O90" s="68">
        <v>0</v>
      </c>
      <c r="P90" s="68">
        <v>0</v>
      </c>
      <c r="Q90" s="68">
        <v>0</v>
      </c>
      <c r="R90" s="72">
        <f>SUM(F90:Q90)</f>
        <v>0</v>
      </c>
      <c r="S90" s="40">
        <f>IFERROR(AVERAGE(F90:Q90), "Rp0")</f>
        <v>0</v>
      </c>
      <c r="T90" s="76"/>
    </row>
    <row r="91" spans="1:20" ht="19.5" customHeight="1" outlineLevel="1" x14ac:dyDescent="0.2">
      <c r="A91" s="42"/>
      <c r="B91" s="242"/>
      <c r="C91" s="43"/>
      <c r="D91" s="88"/>
      <c r="E91" s="89"/>
      <c r="F91" s="54"/>
      <c r="G91" s="54"/>
      <c r="H91" s="54"/>
      <c r="I91" s="54"/>
      <c r="J91" s="54"/>
      <c r="K91" s="50"/>
      <c r="L91" s="54"/>
      <c r="M91" s="54"/>
      <c r="N91" s="54"/>
      <c r="O91" s="54"/>
      <c r="P91" s="54"/>
      <c r="Q91" s="54"/>
      <c r="R91" s="72"/>
      <c r="S91" s="75"/>
      <c r="T91" s="76"/>
    </row>
    <row r="92" spans="1:20" ht="19.5" customHeight="1" x14ac:dyDescent="0.2">
      <c r="A92" s="42"/>
      <c r="B92" s="242"/>
      <c r="C92" s="43"/>
      <c r="D92" s="88"/>
      <c r="E92" s="89"/>
      <c r="F92" s="54"/>
      <c r="G92" s="54"/>
      <c r="H92" s="54"/>
      <c r="I92" s="54"/>
      <c r="J92" s="54"/>
      <c r="K92" s="50"/>
      <c r="L92" s="54"/>
      <c r="M92" s="54"/>
      <c r="N92" s="54"/>
      <c r="O92" s="54"/>
      <c r="P92" s="54"/>
      <c r="Q92" s="54"/>
      <c r="R92" s="72"/>
      <c r="S92" s="75"/>
      <c r="T92" s="76"/>
    </row>
    <row r="93" spans="1:20" s="111" customFormat="1" ht="65.25" customHeight="1" x14ac:dyDescent="0.2">
      <c r="A93" s="42"/>
      <c r="B93" s="243" t="s">
        <v>120</v>
      </c>
      <c r="C93" s="43"/>
      <c r="D93" s="82"/>
      <c r="E93" s="38" t="s">
        <v>45</v>
      </c>
      <c r="F93" s="238">
        <f t="shared" ref="F93:Q93" si="16">SUM(F94:F95)</f>
        <v>0</v>
      </c>
      <c r="G93" s="238">
        <f t="shared" si="16"/>
        <v>0</v>
      </c>
      <c r="H93" s="238">
        <f t="shared" si="16"/>
        <v>0</v>
      </c>
      <c r="I93" s="238">
        <f t="shared" si="16"/>
        <v>0</v>
      </c>
      <c r="J93" s="238">
        <f t="shared" si="16"/>
        <v>0</v>
      </c>
      <c r="K93" s="273"/>
      <c r="L93" s="238">
        <f t="shared" si="16"/>
        <v>0</v>
      </c>
      <c r="M93" s="238">
        <f t="shared" si="16"/>
        <v>0</v>
      </c>
      <c r="N93" s="238">
        <f t="shared" si="16"/>
        <v>0</v>
      </c>
      <c r="O93" s="238">
        <f t="shared" si="16"/>
        <v>0</v>
      </c>
      <c r="P93" s="238">
        <f t="shared" si="16"/>
        <v>0</v>
      </c>
      <c r="Q93" s="238">
        <f t="shared" si="16"/>
        <v>0</v>
      </c>
      <c r="R93" s="72">
        <f>SUM(F93:Q93)</f>
        <v>0</v>
      </c>
      <c r="S93" s="147">
        <f>IFERROR(AVERAGE(F93:Q93), "Rp0")</f>
        <v>0</v>
      </c>
      <c r="T93" s="84"/>
    </row>
    <row r="94" spans="1:20" ht="19.5" customHeight="1" outlineLevel="1" x14ac:dyDescent="0.2">
      <c r="A94" s="42"/>
      <c r="B94" s="242"/>
      <c r="C94" s="43"/>
      <c r="D94" s="88"/>
      <c r="E94" s="58" t="s">
        <v>121</v>
      </c>
      <c r="F94" s="68">
        <v>0</v>
      </c>
      <c r="G94" s="68">
        <v>0</v>
      </c>
      <c r="H94" s="68">
        <v>0</v>
      </c>
      <c r="I94" s="68">
        <v>0</v>
      </c>
      <c r="J94" s="68">
        <v>0</v>
      </c>
      <c r="K94" s="68">
        <v>0</v>
      </c>
      <c r="L94" s="68">
        <v>0</v>
      </c>
      <c r="M94" s="68">
        <v>0</v>
      </c>
      <c r="N94" s="68"/>
      <c r="O94" s="68">
        <v>0</v>
      </c>
      <c r="P94" s="68">
        <v>0</v>
      </c>
      <c r="Q94" s="68">
        <v>0</v>
      </c>
      <c r="R94" s="72">
        <f>SUM(F94:Q94)</f>
        <v>0</v>
      </c>
      <c r="S94" s="147">
        <f>IFERROR(AVERAGE(F94:Q94), "Rp0")</f>
        <v>0</v>
      </c>
      <c r="T94" s="76"/>
    </row>
    <row r="95" spans="1:20" ht="19.5" customHeight="1" outlineLevel="1" x14ac:dyDescent="0.2">
      <c r="A95" s="42"/>
      <c r="B95" s="242"/>
      <c r="C95" s="43"/>
      <c r="D95" s="88"/>
      <c r="E95" s="58"/>
      <c r="F95" s="54"/>
      <c r="G95" s="54"/>
      <c r="H95" s="54"/>
      <c r="I95" s="54"/>
      <c r="J95" s="54"/>
      <c r="K95" s="74"/>
      <c r="L95" s="54"/>
      <c r="M95" s="54"/>
      <c r="N95" s="54"/>
      <c r="O95" s="54"/>
      <c r="P95" s="54"/>
      <c r="Q95" s="54"/>
      <c r="R95" s="72"/>
      <c r="S95" s="75"/>
      <c r="T95" s="76"/>
    </row>
    <row r="96" spans="1:20" ht="19.5" customHeight="1" x14ac:dyDescent="0.2">
      <c r="A96" s="42"/>
      <c r="B96" s="242"/>
      <c r="C96" s="43"/>
      <c r="D96" s="88"/>
      <c r="E96" s="58"/>
      <c r="F96" s="54"/>
      <c r="G96" s="54"/>
      <c r="H96" s="54"/>
      <c r="I96" s="54"/>
      <c r="J96" s="54"/>
      <c r="K96" s="74"/>
      <c r="L96" s="54"/>
      <c r="M96" s="54"/>
      <c r="N96" s="54"/>
      <c r="O96" s="54"/>
      <c r="P96" s="54"/>
      <c r="Q96" s="54"/>
      <c r="R96" s="72"/>
      <c r="S96" s="75"/>
      <c r="T96" s="76"/>
    </row>
    <row r="97" spans="1:20" s="111" customFormat="1" ht="38.25" customHeight="1" x14ac:dyDescent="0.2">
      <c r="A97" s="42"/>
      <c r="B97" s="243" t="s">
        <v>122</v>
      </c>
      <c r="C97" s="43"/>
      <c r="D97" s="82"/>
      <c r="E97" s="38" t="s">
        <v>45</v>
      </c>
      <c r="F97" s="238">
        <f t="shared" ref="F97:Q97" si="17">SUM(F98:F100)</f>
        <v>0</v>
      </c>
      <c r="G97" s="238">
        <f t="shared" si="17"/>
        <v>0</v>
      </c>
      <c r="H97" s="238">
        <f t="shared" si="17"/>
        <v>0</v>
      </c>
      <c r="I97" s="238">
        <f t="shared" si="17"/>
        <v>0</v>
      </c>
      <c r="J97" s="238">
        <f t="shared" si="17"/>
        <v>0</v>
      </c>
      <c r="K97" s="238">
        <f t="shared" si="17"/>
        <v>0</v>
      </c>
      <c r="L97" s="238">
        <f t="shared" si="17"/>
        <v>0</v>
      </c>
      <c r="M97" s="238">
        <f t="shared" si="17"/>
        <v>0</v>
      </c>
      <c r="N97" s="238"/>
      <c r="O97" s="238">
        <f t="shared" si="17"/>
        <v>0</v>
      </c>
      <c r="P97" s="238">
        <f t="shared" si="17"/>
        <v>0</v>
      </c>
      <c r="Q97" s="238">
        <f t="shared" si="17"/>
        <v>0</v>
      </c>
      <c r="R97" s="72">
        <f>SUM(F97:Q97)</f>
        <v>0</v>
      </c>
      <c r="S97" s="147">
        <f>IFERROR(AVERAGE(F97:Q97), "Rp0")</f>
        <v>0</v>
      </c>
      <c r="T97" s="84"/>
    </row>
    <row r="98" spans="1:20" ht="19.5" customHeight="1" outlineLevel="1" x14ac:dyDescent="0.2">
      <c r="A98" s="42"/>
      <c r="B98" s="242"/>
      <c r="C98" s="43"/>
      <c r="D98" s="88"/>
      <c r="E98" s="58" t="s">
        <v>123</v>
      </c>
      <c r="F98" s="68">
        <v>0</v>
      </c>
      <c r="G98" s="68">
        <v>0</v>
      </c>
      <c r="H98" s="68">
        <v>0</v>
      </c>
      <c r="I98" s="68">
        <v>0</v>
      </c>
      <c r="J98" s="68">
        <v>0</v>
      </c>
      <c r="K98" s="68">
        <v>0</v>
      </c>
      <c r="L98" s="68">
        <v>0</v>
      </c>
      <c r="M98" s="68">
        <v>0</v>
      </c>
      <c r="N98" s="68"/>
      <c r="O98" s="68">
        <v>0</v>
      </c>
      <c r="P98" s="68">
        <v>0</v>
      </c>
      <c r="Q98" s="68">
        <v>0</v>
      </c>
      <c r="R98" s="72">
        <f>SUM(F98:Q98)</f>
        <v>0</v>
      </c>
      <c r="S98" s="40">
        <f>IFERROR(AVERAGE(F98:Q98), "Rp0")</f>
        <v>0</v>
      </c>
      <c r="T98" s="76"/>
    </row>
    <row r="99" spans="1:20" ht="19.5" customHeight="1" outlineLevel="1" x14ac:dyDescent="0.2">
      <c r="A99" s="42"/>
      <c r="B99" s="242"/>
      <c r="C99" s="43"/>
      <c r="D99" s="88"/>
      <c r="E99" s="5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72"/>
      <c r="S99" s="75"/>
      <c r="T99" s="76"/>
    </row>
    <row r="100" spans="1:20" ht="19.5" customHeight="1" x14ac:dyDescent="0.2">
      <c r="A100" s="42"/>
      <c r="B100" s="242"/>
      <c r="C100" s="43"/>
      <c r="D100" s="88"/>
      <c r="E100" s="58"/>
      <c r="F100" s="54"/>
      <c r="G100" s="54"/>
      <c r="H100" s="54"/>
      <c r="I100" s="54"/>
      <c r="J100" s="54"/>
      <c r="K100" s="74"/>
      <c r="L100" s="54"/>
      <c r="M100" s="54"/>
      <c r="N100" s="54"/>
      <c r="O100" s="54"/>
      <c r="P100" s="54"/>
      <c r="Q100" s="54"/>
      <c r="R100" s="72"/>
      <c r="S100" s="75"/>
      <c r="T100" s="76"/>
    </row>
    <row r="101" spans="1:20" s="111" customFormat="1" ht="38.25" customHeight="1" x14ac:dyDescent="0.2">
      <c r="A101" s="42"/>
      <c r="B101" s="243" t="s">
        <v>124</v>
      </c>
      <c r="C101" s="43"/>
      <c r="D101" s="82"/>
      <c r="E101" s="38" t="s">
        <v>45</v>
      </c>
      <c r="F101" s="238">
        <f t="shared" ref="F101:Q101" si="18">SUM(F102:F104)</f>
        <v>0</v>
      </c>
      <c r="G101" s="238">
        <f t="shared" si="18"/>
        <v>0</v>
      </c>
      <c r="H101" s="238">
        <f t="shared" si="18"/>
        <v>0</v>
      </c>
      <c r="I101" s="238">
        <f t="shared" si="18"/>
        <v>0</v>
      </c>
      <c r="J101" s="238">
        <f t="shared" si="18"/>
        <v>0</v>
      </c>
      <c r="K101" s="238">
        <f t="shared" si="18"/>
        <v>0</v>
      </c>
      <c r="L101" s="238">
        <f>SUM(L102:L104)</f>
        <v>0</v>
      </c>
      <c r="M101" s="238">
        <f t="shared" si="18"/>
        <v>0</v>
      </c>
      <c r="N101" s="238"/>
      <c r="O101" s="238">
        <f t="shared" si="18"/>
        <v>0</v>
      </c>
      <c r="P101" s="238">
        <f t="shared" si="18"/>
        <v>0</v>
      </c>
      <c r="Q101" s="238">
        <f t="shared" si="18"/>
        <v>0</v>
      </c>
      <c r="R101" s="72">
        <f>SUM(F101:Q101)</f>
        <v>0</v>
      </c>
      <c r="S101" s="147">
        <f>IFERROR(AVERAGE(F101:Q101), "Rp0")</f>
        <v>0</v>
      </c>
      <c r="T101" s="84"/>
    </row>
    <row r="102" spans="1:20" ht="19.5" customHeight="1" outlineLevel="1" x14ac:dyDescent="0.2">
      <c r="A102" s="42"/>
      <c r="B102" s="242"/>
      <c r="C102" s="43"/>
      <c r="D102" s="88"/>
      <c r="E102" s="89" t="s">
        <v>125</v>
      </c>
      <c r="F102" s="46">
        <v>0</v>
      </c>
      <c r="G102" s="46">
        <v>0</v>
      </c>
      <c r="H102" s="46">
        <v>0</v>
      </c>
      <c r="I102" s="46">
        <v>0</v>
      </c>
      <c r="J102" s="46">
        <v>0</v>
      </c>
      <c r="K102" s="46">
        <v>0</v>
      </c>
      <c r="L102" s="46">
        <v>0</v>
      </c>
      <c r="M102" s="46">
        <v>0</v>
      </c>
      <c r="N102" s="46">
        <v>0</v>
      </c>
      <c r="O102" s="46">
        <v>0</v>
      </c>
      <c r="P102" s="46">
        <v>0</v>
      </c>
      <c r="Q102" s="46">
        <v>0</v>
      </c>
      <c r="R102" s="72">
        <f>SUM(F102:Q102)</f>
        <v>0</v>
      </c>
      <c r="S102" s="40">
        <f>IFERROR(AVERAGE(F102:Q102), "Rp0")</f>
        <v>0</v>
      </c>
      <c r="T102" s="76"/>
    </row>
    <row r="103" spans="1:20" ht="19.5" customHeight="1" outlineLevel="1" x14ac:dyDescent="0.2">
      <c r="A103" s="42"/>
      <c r="B103" s="242"/>
      <c r="C103" s="43"/>
      <c r="D103" s="88"/>
      <c r="E103" s="89" t="s">
        <v>126</v>
      </c>
      <c r="F103" s="46">
        <v>0</v>
      </c>
      <c r="G103" s="46">
        <v>0</v>
      </c>
      <c r="H103" s="46">
        <v>0</v>
      </c>
      <c r="I103" s="46">
        <v>0</v>
      </c>
      <c r="J103" s="46">
        <v>0</v>
      </c>
      <c r="K103" s="46">
        <v>0</v>
      </c>
      <c r="L103" s="46">
        <v>0</v>
      </c>
      <c r="M103" s="46">
        <v>0</v>
      </c>
      <c r="N103" s="46">
        <v>0</v>
      </c>
      <c r="O103" s="46">
        <v>0</v>
      </c>
      <c r="P103" s="46">
        <v>0</v>
      </c>
      <c r="Q103" s="46">
        <v>0</v>
      </c>
      <c r="R103" s="72">
        <f>SUM(F103:Q103)</f>
        <v>0</v>
      </c>
      <c r="S103" s="40">
        <f>IFERROR(AVERAGE(F103:Q103), "Rp0")</f>
        <v>0</v>
      </c>
      <c r="T103" s="76"/>
    </row>
    <row r="104" spans="1:20" ht="19.5" customHeight="1" outlineLevel="1" x14ac:dyDescent="0.2">
      <c r="A104" s="42"/>
      <c r="B104" s="242"/>
      <c r="C104" s="43"/>
      <c r="D104" s="88"/>
      <c r="E104" s="89" t="s">
        <v>127</v>
      </c>
      <c r="F104" s="46">
        <v>0</v>
      </c>
      <c r="G104" s="46">
        <v>0</v>
      </c>
      <c r="H104" s="46">
        <v>0</v>
      </c>
      <c r="I104" s="46">
        <v>0</v>
      </c>
      <c r="J104" s="46">
        <v>0</v>
      </c>
      <c r="K104" s="46">
        <v>0</v>
      </c>
      <c r="L104" s="46">
        <v>0</v>
      </c>
      <c r="M104" s="46">
        <v>0</v>
      </c>
      <c r="N104" s="46">
        <v>0</v>
      </c>
      <c r="O104" s="46">
        <v>0</v>
      </c>
      <c r="P104" s="46">
        <v>0</v>
      </c>
      <c r="Q104" s="46">
        <v>0</v>
      </c>
      <c r="R104" s="72">
        <f>SUM(F104:Q104)</f>
        <v>0</v>
      </c>
      <c r="S104" s="40">
        <f>IFERROR(AVERAGE(F104:Q104), "Rp0")</f>
        <v>0</v>
      </c>
      <c r="T104" s="76"/>
    </row>
    <row r="105" spans="1:20" ht="19.5" customHeight="1" x14ac:dyDescent="0.2">
      <c r="A105" s="42"/>
      <c r="B105" s="242"/>
      <c r="C105" s="43"/>
      <c r="D105" s="88"/>
      <c r="E105" s="58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72"/>
      <c r="S105" s="55"/>
      <c r="T105" s="76"/>
    </row>
    <row r="106" spans="1:20" ht="19.5" customHeight="1" x14ac:dyDescent="0.2">
      <c r="A106" s="42"/>
      <c r="B106" s="242"/>
      <c r="C106" s="43"/>
      <c r="D106" s="90"/>
      <c r="E106" s="78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2"/>
      <c r="S106" s="80"/>
      <c r="T106" s="81"/>
    </row>
    <row r="107" spans="1:20" s="111" customFormat="1" ht="38.25" customHeight="1" x14ac:dyDescent="0.2">
      <c r="A107" s="42"/>
      <c r="B107" s="243" t="s">
        <v>128</v>
      </c>
      <c r="C107" s="43"/>
      <c r="D107" s="82"/>
      <c r="E107" s="38" t="s">
        <v>45</v>
      </c>
      <c r="F107" s="238">
        <f t="shared" ref="F107:Q107" si="19">SUM(F108:F109)</f>
        <v>0</v>
      </c>
      <c r="G107" s="238">
        <f t="shared" si="19"/>
        <v>0</v>
      </c>
      <c r="H107" s="238">
        <f t="shared" si="19"/>
        <v>0</v>
      </c>
      <c r="I107" s="238">
        <f t="shared" si="19"/>
        <v>0</v>
      </c>
      <c r="J107" s="238">
        <f t="shared" si="19"/>
        <v>0</v>
      </c>
      <c r="K107" s="238">
        <f t="shared" si="19"/>
        <v>0</v>
      </c>
      <c r="L107" s="238">
        <f t="shared" si="19"/>
        <v>0</v>
      </c>
      <c r="M107" s="238">
        <f t="shared" si="19"/>
        <v>0</v>
      </c>
      <c r="N107" s="238"/>
      <c r="O107" s="238">
        <f t="shared" si="19"/>
        <v>0</v>
      </c>
      <c r="P107" s="238">
        <f t="shared" si="19"/>
        <v>0</v>
      </c>
      <c r="Q107" s="238">
        <f t="shared" si="19"/>
        <v>0</v>
      </c>
      <c r="R107" s="72">
        <f>SUM(F107:Q107)</f>
        <v>0</v>
      </c>
      <c r="S107" s="147">
        <f>IFERROR(AVERAGE(F107:Q107), "Rp0")</f>
        <v>0</v>
      </c>
      <c r="T107" s="84"/>
    </row>
    <row r="108" spans="1:20" ht="19.5" customHeight="1" outlineLevel="1" x14ac:dyDescent="0.2">
      <c r="A108" s="42"/>
      <c r="B108" s="242"/>
      <c r="C108" s="43"/>
      <c r="D108" s="44"/>
      <c r="E108" s="86" t="s">
        <v>129</v>
      </c>
      <c r="F108" s="46">
        <v>0</v>
      </c>
      <c r="G108" s="46">
        <v>0</v>
      </c>
      <c r="H108" s="46">
        <v>0</v>
      </c>
      <c r="I108" s="46">
        <v>0</v>
      </c>
      <c r="J108" s="46">
        <v>0</v>
      </c>
      <c r="K108" s="46">
        <v>0</v>
      </c>
      <c r="L108" s="46">
        <v>0</v>
      </c>
      <c r="M108" s="46">
        <v>0</v>
      </c>
      <c r="N108" s="46"/>
      <c r="O108" s="46">
        <v>0</v>
      </c>
      <c r="P108" s="46">
        <v>0</v>
      </c>
      <c r="Q108" s="46">
        <v>0</v>
      </c>
      <c r="R108" s="72">
        <f>SUM(F108:Q108)</f>
        <v>0</v>
      </c>
      <c r="S108" s="40">
        <f>IFERROR(AVERAGE(F108:Q108), "Rp0")</f>
        <v>0</v>
      </c>
      <c r="T108" s="47"/>
    </row>
    <row r="109" spans="1:20" ht="19.5" customHeight="1" outlineLevel="1" x14ac:dyDescent="0.2">
      <c r="A109" s="42"/>
      <c r="B109" s="242"/>
      <c r="C109" s="43"/>
      <c r="D109" s="61"/>
      <c r="E109" s="73"/>
      <c r="F109" s="50" t="s">
        <v>148</v>
      </c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72"/>
      <c r="S109" s="75"/>
      <c r="T109" s="51"/>
    </row>
    <row r="110" spans="1:20" ht="19.5" customHeight="1" x14ac:dyDescent="0.2">
      <c r="A110" s="42"/>
      <c r="B110" s="242"/>
      <c r="C110" s="43"/>
      <c r="D110" s="61"/>
      <c r="E110" s="58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72"/>
      <c r="S110" s="55"/>
      <c r="T110" s="76"/>
    </row>
    <row r="111" spans="1:20" ht="19.5" customHeight="1" x14ac:dyDescent="0.2">
      <c r="A111" s="42"/>
      <c r="B111" s="242"/>
      <c r="C111" s="43"/>
      <c r="D111" s="77"/>
      <c r="E111" s="78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2"/>
      <c r="S111" s="80"/>
      <c r="T111" s="81"/>
    </row>
    <row r="112" spans="1:20" s="111" customFormat="1" ht="38.25" customHeight="1" x14ac:dyDescent="0.2">
      <c r="A112" s="42"/>
      <c r="B112" s="243" t="s">
        <v>130</v>
      </c>
      <c r="C112" s="43"/>
      <c r="D112" s="82"/>
      <c r="E112" s="38" t="s">
        <v>45</v>
      </c>
      <c r="F112" s="238">
        <f t="shared" ref="F112:Q112" si="20">SUM(F113:F114)</f>
        <v>0</v>
      </c>
      <c r="G112" s="238">
        <f t="shared" si="20"/>
        <v>0</v>
      </c>
      <c r="H112" s="238">
        <f t="shared" si="20"/>
        <v>0</v>
      </c>
      <c r="I112" s="238">
        <f t="shared" si="20"/>
        <v>0</v>
      </c>
      <c r="J112" s="238">
        <f t="shared" si="20"/>
        <v>0</v>
      </c>
      <c r="K112" s="238">
        <f t="shared" si="20"/>
        <v>0</v>
      </c>
      <c r="L112" s="238">
        <f t="shared" si="20"/>
        <v>0</v>
      </c>
      <c r="M112" s="238">
        <f t="shared" si="20"/>
        <v>0</v>
      </c>
      <c r="N112" s="238"/>
      <c r="O112" s="238">
        <f t="shared" si="20"/>
        <v>0</v>
      </c>
      <c r="P112" s="238">
        <f t="shared" si="20"/>
        <v>0</v>
      </c>
      <c r="Q112" s="238">
        <f t="shared" si="20"/>
        <v>0</v>
      </c>
      <c r="R112" s="72">
        <f>SUM(F112:Q112)</f>
        <v>0</v>
      </c>
      <c r="S112" s="147">
        <f>IFERROR(AVERAGE(F112:Q112), "Rp0")</f>
        <v>0</v>
      </c>
      <c r="T112" s="84"/>
    </row>
    <row r="113" spans="1:20" ht="19.5" customHeight="1" outlineLevel="1" x14ac:dyDescent="0.2">
      <c r="A113" s="42"/>
      <c r="B113" s="242"/>
      <c r="C113" s="43"/>
      <c r="D113" s="44"/>
      <c r="E113" s="86" t="s">
        <v>131</v>
      </c>
      <c r="F113" s="46">
        <v>0</v>
      </c>
      <c r="G113" s="46">
        <v>0</v>
      </c>
      <c r="H113" s="46">
        <v>0</v>
      </c>
      <c r="I113" s="46">
        <v>0</v>
      </c>
      <c r="J113" s="46">
        <v>0</v>
      </c>
      <c r="K113" s="46">
        <v>0</v>
      </c>
      <c r="L113" s="46">
        <v>0</v>
      </c>
      <c r="M113" s="46">
        <v>0</v>
      </c>
      <c r="N113" s="46"/>
      <c r="O113" s="46">
        <v>0</v>
      </c>
      <c r="P113" s="46">
        <v>0</v>
      </c>
      <c r="Q113" s="46">
        <v>0</v>
      </c>
      <c r="R113" s="72">
        <f>SUM(F113:Q113)</f>
        <v>0</v>
      </c>
      <c r="S113" s="40">
        <f>IFERROR(AVERAGE(F113:Q113), "Rp0")</f>
        <v>0</v>
      </c>
      <c r="T113" s="47"/>
    </row>
    <row r="114" spans="1:20" s="99" customFormat="1" ht="19.5" customHeight="1" outlineLevel="1" x14ac:dyDescent="0.2">
      <c r="A114" s="91"/>
      <c r="B114" s="245"/>
      <c r="C114" s="92"/>
      <c r="D114" s="93"/>
      <c r="E114" s="94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6"/>
      <c r="S114" s="97"/>
      <c r="T114" s="98"/>
    </row>
    <row r="115" spans="1:20" ht="19.5" customHeight="1" x14ac:dyDescent="0.2">
      <c r="A115" s="100"/>
      <c r="B115" s="246"/>
      <c r="C115" s="101"/>
      <c r="D115" s="48"/>
      <c r="E115" s="73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102"/>
      <c r="S115" s="75"/>
      <c r="T115" s="5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67"/>
  <sheetViews>
    <sheetView showGridLines="0" topLeftCell="A7" zoomScale="60" zoomScaleNormal="60" workbookViewId="0">
      <selection activeCell="E34" sqref="E34"/>
    </sheetView>
  </sheetViews>
  <sheetFormatPr defaultColWidth="14.42578125" defaultRowHeight="39" customHeight="1" x14ac:dyDescent="0.25"/>
  <cols>
    <col min="1" max="1" width="5.85546875" style="153" customWidth="1"/>
    <col min="2" max="2" width="5.85546875" style="153" hidden="1" customWidth="1"/>
    <col min="3" max="3" width="2.140625" style="153" hidden="1" customWidth="1"/>
    <col min="4" max="4" width="25.140625" style="153" customWidth="1"/>
    <col min="5" max="5" width="19.5703125" style="153" customWidth="1"/>
    <col min="6" max="6" width="21.28515625" style="153" customWidth="1"/>
    <col min="7" max="7" width="21" style="153" customWidth="1"/>
    <col min="8" max="8" width="21.28515625" style="153" customWidth="1"/>
    <col min="9" max="9" width="21.85546875" style="153" customWidth="1"/>
    <col min="10" max="10" width="21" style="153" customWidth="1"/>
    <col min="11" max="11" width="19" style="153" customWidth="1"/>
    <col min="12" max="13" width="20.7109375" style="153" customWidth="1"/>
    <col min="14" max="14" width="21.28515625" style="153" customWidth="1"/>
    <col min="15" max="15" width="23.7109375" style="153" customWidth="1"/>
    <col min="16" max="16" width="17.85546875" style="153" customWidth="1"/>
    <col min="17" max="17" width="21.28515625" style="153" hidden="1" customWidth="1"/>
    <col min="18" max="18" width="23.85546875" style="153" hidden="1" customWidth="1"/>
    <col min="19" max="19" width="23" style="153" hidden="1" customWidth="1"/>
    <col min="20" max="20" width="22.140625" style="153" hidden="1" customWidth="1"/>
    <col min="21" max="21" width="19.28515625" style="153" hidden="1" customWidth="1"/>
    <col min="22" max="22" width="19.140625" style="153" hidden="1" customWidth="1"/>
    <col min="23" max="23" width="19.5703125" style="153" hidden="1" customWidth="1"/>
    <col min="24" max="24" width="18.42578125" style="153" hidden="1" customWidth="1"/>
    <col min="25" max="25" width="25" style="173" customWidth="1"/>
    <col min="26" max="26" width="19.85546875" style="153" customWidth="1"/>
    <col min="27" max="27" width="2.140625" style="153" customWidth="1"/>
    <col min="28" max="28" width="5.85546875" style="153" customWidth="1"/>
    <col min="29" max="16384" width="14.42578125" style="153"/>
  </cols>
  <sheetData>
    <row r="1" spans="1:28" ht="39" customHeight="1" x14ac:dyDescent="0.25">
      <c r="A1" s="149"/>
      <c r="B1" s="150"/>
      <c r="C1" s="151"/>
      <c r="D1" s="285" t="s">
        <v>132</v>
      </c>
      <c r="E1" s="286"/>
      <c r="F1" s="286"/>
      <c r="G1" s="286"/>
      <c r="H1" s="286"/>
      <c r="I1" s="286"/>
      <c r="J1" s="286"/>
      <c r="K1" s="286"/>
      <c r="L1" s="287" t="s">
        <v>133</v>
      </c>
      <c r="M1" s="287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152"/>
      <c r="AB1" s="149"/>
    </row>
    <row r="2" spans="1:28" ht="39" customHeight="1" x14ac:dyDescent="0.25">
      <c r="A2" s="154"/>
      <c r="B2" s="155"/>
      <c r="C2" s="156"/>
      <c r="D2" s="288" t="s">
        <v>134</v>
      </c>
      <c r="E2" s="289"/>
      <c r="F2" s="289"/>
      <c r="G2" s="289"/>
      <c r="H2" s="289"/>
      <c r="I2" s="289"/>
      <c r="J2" s="289"/>
      <c r="K2" s="289"/>
      <c r="L2" s="290" t="s">
        <v>135</v>
      </c>
      <c r="M2" s="290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157"/>
      <c r="AB2" s="154"/>
    </row>
    <row r="3" spans="1:28" ht="39" customHeight="1" x14ac:dyDescent="0.25">
      <c r="A3" s="158"/>
      <c r="B3" s="159"/>
      <c r="C3" s="160"/>
      <c r="D3" s="291" t="s">
        <v>136</v>
      </c>
      <c r="E3" s="292"/>
      <c r="F3" s="292"/>
      <c r="G3" s="292"/>
      <c r="H3" s="292"/>
      <c r="I3" s="292"/>
      <c r="J3" s="292"/>
      <c r="K3" s="292"/>
      <c r="L3" s="293" t="s">
        <v>137</v>
      </c>
      <c r="M3" s="293"/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  <c r="AA3" s="161"/>
      <c r="AB3" s="162"/>
    </row>
    <row r="4" spans="1:28" ht="39" customHeight="1" x14ac:dyDescent="0.25">
      <c r="A4" s="163"/>
      <c r="B4" s="164"/>
      <c r="C4" s="163"/>
      <c r="D4" s="165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9"/>
      <c r="Z4" s="166"/>
      <c r="AA4" s="166"/>
      <c r="AB4" s="163"/>
    </row>
    <row r="5" spans="1:28" ht="39" customHeight="1" x14ac:dyDescent="0.25">
      <c r="A5" s="163"/>
      <c r="B5" s="164"/>
      <c r="C5" s="167"/>
      <c r="D5" s="168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9"/>
      <c r="Z5" s="169"/>
      <c r="AA5" s="169"/>
      <c r="AB5" s="163"/>
    </row>
    <row r="6" spans="1:28" ht="39" customHeight="1" x14ac:dyDescent="0.25">
      <c r="A6" s="163"/>
      <c r="B6" s="164"/>
      <c r="C6" s="167"/>
      <c r="D6" s="168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9"/>
      <c r="Z6" s="169"/>
      <c r="AA6" s="169"/>
      <c r="AB6" s="163"/>
    </row>
    <row r="7" spans="1:28" ht="39" customHeight="1" x14ac:dyDescent="0.25">
      <c r="A7" s="163"/>
      <c r="B7" s="164"/>
      <c r="C7" s="167"/>
      <c r="D7" s="168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9"/>
      <c r="Z7" s="169"/>
      <c r="AA7" s="169"/>
      <c r="AB7" s="163"/>
    </row>
    <row r="8" spans="1:28" ht="39" customHeight="1" x14ac:dyDescent="0.25">
      <c r="A8" s="163"/>
      <c r="B8" s="164"/>
      <c r="C8" s="167"/>
      <c r="D8" s="168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9"/>
      <c r="Z8" s="169"/>
      <c r="AA8" s="169"/>
      <c r="AB8" s="163"/>
    </row>
    <row r="9" spans="1:28" ht="39" customHeight="1" x14ac:dyDescent="0.25">
      <c r="A9" s="163"/>
      <c r="B9" s="164"/>
      <c r="C9" s="167"/>
      <c r="D9" s="168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9"/>
      <c r="Z9" s="169"/>
      <c r="AA9" s="169"/>
      <c r="AB9" s="163"/>
    </row>
    <row r="10" spans="1:28" ht="39" customHeight="1" x14ac:dyDescent="0.25">
      <c r="A10" s="163"/>
      <c r="B10" s="164"/>
      <c r="C10" s="167"/>
      <c r="D10" s="168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9"/>
      <c r="Z10" s="169"/>
      <c r="AA10" s="169"/>
      <c r="AB10" s="163"/>
    </row>
    <row r="11" spans="1:28" ht="39" customHeight="1" x14ac:dyDescent="0.25">
      <c r="A11" s="163"/>
      <c r="B11" s="164"/>
      <c r="C11" s="167"/>
      <c r="D11" s="168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9"/>
      <c r="Z11" s="169"/>
      <c r="AA11" s="169"/>
      <c r="AB11" s="163"/>
    </row>
    <row r="12" spans="1:28" ht="39" customHeight="1" x14ac:dyDescent="0.25">
      <c r="A12" s="163"/>
      <c r="B12" s="164"/>
      <c r="C12" s="167"/>
      <c r="D12" s="168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9"/>
      <c r="Z12" s="169"/>
      <c r="AA12" s="169"/>
      <c r="AB12" s="163"/>
    </row>
    <row r="13" spans="1:28" ht="39" customHeight="1" x14ac:dyDescent="0.25">
      <c r="A13" s="163"/>
      <c r="B13" s="164"/>
      <c r="C13" s="167"/>
      <c r="D13" s="168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9"/>
      <c r="Z13" s="169"/>
      <c r="AA13" s="169"/>
      <c r="AB13" s="163"/>
    </row>
    <row r="14" spans="1:28" ht="39" hidden="1" customHeight="1" x14ac:dyDescent="0.25">
      <c r="A14" s="163"/>
      <c r="B14" s="164"/>
      <c r="C14" s="167"/>
      <c r="D14" s="168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9"/>
      <c r="Z14" s="169"/>
      <c r="AA14" s="169"/>
      <c r="AB14" s="163"/>
    </row>
    <row r="15" spans="1:28" ht="39" hidden="1" customHeight="1" x14ac:dyDescent="0.25">
      <c r="A15" s="163"/>
      <c r="B15" s="164"/>
      <c r="C15" s="167"/>
      <c r="D15" s="168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9"/>
      <c r="Z15" s="169"/>
      <c r="AA15" s="169"/>
      <c r="AB15" s="163"/>
    </row>
    <row r="16" spans="1:28" ht="39" hidden="1" customHeight="1" x14ac:dyDescent="0.25">
      <c r="A16" s="163"/>
      <c r="B16" s="164"/>
      <c r="C16" s="167"/>
      <c r="D16" s="168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9"/>
      <c r="Z16" s="169"/>
      <c r="AA16" s="169"/>
      <c r="AB16" s="163"/>
    </row>
    <row r="17" spans="1:28" ht="39" hidden="1" customHeight="1" x14ac:dyDescent="0.25">
      <c r="A17" s="163"/>
      <c r="B17" s="164"/>
      <c r="C17" s="167"/>
      <c r="D17" s="168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9"/>
      <c r="Z17" s="169"/>
      <c r="AA17" s="169"/>
      <c r="AB17" s="163"/>
    </row>
    <row r="18" spans="1:28" ht="39" hidden="1" customHeight="1" x14ac:dyDescent="0.25">
      <c r="A18" s="163"/>
      <c r="B18" s="164"/>
      <c r="C18" s="163"/>
      <c r="D18" s="165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9"/>
      <c r="Z18" s="166"/>
      <c r="AA18" s="166"/>
      <c r="AB18" s="163"/>
    </row>
    <row r="19" spans="1:28" ht="39" hidden="1" customHeight="1" x14ac:dyDescent="0.25">
      <c r="A19" s="163"/>
      <c r="B19" s="164"/>
      <c r="C19" s="170"/>
      <c r="D19" s="229" t="s">
        <v>138</v>
      </c>
      <c r="E19" s="170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9"/>
      <c r="Z19" s="172"/>
      <c r="AA19" s="172"/>
      <c r="AB19" s="164"/>
    </row>
    <row r="20" spans="1:28" s="256" customFormat="1" ht="39" customHeight="1" x14ac:dyDescent="0.25">
      <c r="A20" s="248"/>
      <c r="B20" s="249"/>
      <c r="C20" s="250"/>
      <c r="D20" s="251"/>
      <c r="E20" s="276">
        <f>Expenses!F1</f>
        <v>45839</v>
      </c>
      <c r="F20" s="276">
        <f>Expenses!G1</f>
        <v>45870</v>
      </c>
      <c r="G20" s="276">
        <f>Expenses!H1</f>
        <v>45901</v>
      </c>
      <c r="H20" s="276">
        <f>Expenses!I1</f>
        <v>45931</v>
      </c>
      <c r="I20" s="276">
        <f>Expenses!J1</f>
        <v>45962</v>
      </c>
      <c r="J20" s="276">
        <f>Expenses!K1</f>
        <v>45992</v>
      </c>
      <c r="K20" s="276">
        <f>Expenses!L1</f>
        <v>46023</v>
      </c>
      <c r="L20" s="276">
        <f>Expenses!M1</f>
        <v>46054</v>
      </c>
      <c r="M20" s="276">
        <f>Expenses!N1</f>
        <v>46082</v>
      </c>
      <c r="N20" s="276">
        <f>Expenses!O1</f>
        <v>46113</v>
      </c>
      <c r="O20" s="276">
        <f>Expenses!P1</f>
        <v>46143</v>
      </c>
      <c r="P20" s="276">
        <f>Expenses!Q1</f>
        <v>46174</v>
      </c>
      <c r="Q20" s="276" t="e">
        <f>Expenses!#REF!</f>
        <v>#REF!</v>
      </c>
      <c r="R20" s="252" t="e">
        <f>Expenses!#REF!</f>
        <v>#REF!</v>
      </c>
      <c r="S20" s="252" t="e">
        <f>Expenses!#REF!</f>
        <v>#REF!</v>
      </c>
      <c r="T20" s="252" t="e">
        <f>Expenses!#REF!</f>
        <v>#REF!</v>
      </c>
      <c r="U20" s="252" t="e">
        <f>Expenses!#REF!</f>
        <v>#REF!</v>
      </c>
      <c r="V20" s="252" t="e">
        <f>Expenses!#REF!</f>
        <v>#REF!</v>
      </c>
      <c r="W20" s="252" t="e">
        <f>Expenses!#REF!</f>
        <v>#REF!</v>
      </c>
      <c r="X20" s="252" t="e">
        <f>Expenses!#REF!</f>
        <v>#REF!</v>
      </c>
      <c r="Y20" s="253" t="s">
        <v>13</v>
      </c>
      <c r="Z20" s="254" t="s">
        <v>14</v>
      </c>
      <c r="AA20" s="255"/>
      <c r="AB20" s="248"/>
    </row>
    <row r="21" spans="1:28" ht="39" customHeight="1" x14ac:dyDescent="0.25">
      <c r="A21" s="163"/>
      <c r="B21" s="164"/>
      <c r="C21" s="174"/>
      <c r="D21" s="175" t="s">
        <v>139</v>
      </c>
      <c r="E21" s="176">
        <f>+Income!F2</f>
        <v>0</v>
      </c>
      <c r="F21" s="176">
        <f t="shared" ref="F21:O21" si="0">SUM(F28:F30)</f>
        <v>0</v>
      </c>
      <c r="G21" s="176">
        <f t="shared" si="0"/>
        <v>0</v>
      </c>
      <c r="H21" s="176">
        <f t="shared" si="0"/>
        <v>0</v>
      </c>
      <c r="I21" s="176">
        <f t="shared" si="0"/>
        <v>0</v>
      </c>
      <c r="J21" s="176">
        <f>SUM(J28:J30)</f>
        <v>0</v>
      </c>
      <c r="K21" s="176">
        <f t="shared" si="0"/>
        <v>0</v>
      </c>
      <c r="L21" s="176">
        <f>SUM(L28:L30)</f>
        <v>0</v>
      </c>
      <c r="M21" s="176">
        <f t="shared" si="0"/>
        <v>0</v>
      </c>
      <c r="N21" s="176">
        <f t="shared" si="0"/>
        <v>0</v>
      </c>
      <c r="O21" s="176">
        <f t="shared" si="0"/>
        <v>0</v>
      </c>
      <c r="P21" s="176">
        <f t="shared" ref="P21:Y21" si="1">SUM(P28:P30)</f>
        <v>0</v>
      </c>
      <c r="Q21" s="176" t="e">
        <f t="shared" si="1"/>
        <v>#REF!</v>
      </c>
      <c r="R21" s="176" t="e">
        <f t="shared" si="1"/>
        <v>#REF!</v>
      </c>
      <c r="S21" s="176" t="e">
        <f t="shared" si="1"/>
        <v>#REF!</v>
      </c>
      <c r="T21" s="176" t="e">
        <f t="shared" si="1"/>
        <v>#REF!</v>
      </c>
      <c r="U21" s="176" t="e">
        <f t="shared" si="1"/>
        <v>#REF!</v>
      </c>
      <c r="V21" s="176" t="e">
        <f t="shared" si="1"/>
        <v>#REF!</v>
      </c>
      <c r="W21" s="176" t="e">
        <f t="shared" si="1"/>
        <v>#REF!</v>
      </c>
      <c r="X21" s="176" t="e">
        <f t="shared" si="1"/>
        <v>#REF!</v>
      </c>
      <c r="Y21" s="230">
        <f t="shared" si="1"/>
        <v>0</v>
      </c>
      <c r="Z21" s="176">
        <f>SUM(Z28:Z30)</f>
        <v>0</v>
      </c>
      <c r="AA21" s="177"/>
      <c r="AB21" s="178"/>
    </row>
    <row r="22" spans="1:28" ht="39" customHeight="1" x14ac:dyDescent="0.25">
      <c r="A22" s="179"/>
      <c r="B22" s="180"/>
      <c r="C22" s="181"/>
      <c r="D22" s="182" t="s">
        <v>140</v>
      </c>
      <c r="E22" s="183">
        <f>SUM(E33:E42)</f>
        <v>20000</v>
      </c>
      <c r="F22" s="183">
        <f t="shared" ref="F22:Q22" si="2">SUM(F33:F42)</f>
        <v>0</v>
      </c>
      <c r="G22" s="183">
        <f t="shared" si="2"/>
        <v>0</v>
      </c>
      <c r="H22" s="183">
        <f t="shared" si="2"/>
        <v>0</v>
      </c>
      <c r="I22" s="183">
        <f t="shared" si="2"/>
        <v>0</v>
      </c>
      <c r="J22" s="183">
        <f t="shared" si="2"/>
        <v>0</v>
      </c>
      <c r="K22" s="183">
        <f t="shared" si="2"/>
        <v>0</v>
      </c>
      <c r="L22" s="183">
        <f t="shared" si="2"/>
        <v>0</v>
      </c>
      <c r="M22" s="183">
        <f>SUM(M33:M42)</f>
        <v>0</v>
      </c>
      <c r="N22" s="183">
        <f t="shared" si="2"/>
        <v>0</v>
      </c>
      <c r="O22" s="183">
        <f>Expenses!P7+Expenses!P45</f>
        <v>0</v>
      </c>
      <c r="P22" s="183">
        <f t="shared" si="2"/>
        <v>0</v>
      </c>
      <c r="Q22" s="183" t="e">
        <f t="shared" si="2"/>
        <v>#REF!</v>
      </c>
      <c r="R22" s="183" t="e">
        <f>SUM(R33:R42)</f>
        <v>#REF!</v>
      </c>
      <c r="S22" s="183" t="e">
        <f t="shared" ref="S22:X22" si="3">SUM(S33:S42)</f>
        <v>#REF!</v>
      </c>
      <c r="T22" s="183" t="e">
        <f t="shared" si="3"/>
        <v>#REF!</v>
      </c>
      <c r="U22" s="183" t="e">
        <f t="shared" si="3"/>
        <v>#REF!</v>
      </c>
      <c r="V22" s="183" t="e">
        <f t="shared" si="3"/>
        <v>#REF!</v>
      </c>
      <c r="W22" s="183" t="e">
        <f t="shared" si="3"/>
        <v>#REF!</v>
      </c>
      <c r="X22" s="183" t="e">
        <f t="shared" si="3"/>
        <v>#REF!</v>
      </c>
      <c r="Y22" s="231">
        <f>SUM(Y33:Y42)</f>
        <v>20000</v>
      </c>
      <c r="Z22" s="183">
        <f>SUM(Z33:Z42)</f>
        <v>1666.6666666666667</v>
      </c>
      <c r="AA22" s="184"/>
      <c r="AB22" s="185"/>
    </row>
    <row r="23" spans="1:28" ht="39" customHeight="1" x14ac:dyDescent="0.25">
      <c r="B23" s="186"/>
      <c r="C23" s="187"/>
      <c r="D23" s="188" t="s">
        <v>141</v>
      </c>
      <c r="E23" s="189">
        <f>E21-E22</f>
        <v>-20000</v>
      </c>
      <c r="F23" s="189">
        <f t="shared" ref="F23:X23" si="4">F21-F22</f>
        <v>0</v>
      </c>
      <c r="G23" s="189">
        <f t="shared" si="4"/>
        <v>0</v>
      </c>
      <c r="H23" s="189">
        <f t="shared" si="4"/>
        <v>0</v>
      </c>
      <c r="I23" s="189">
        <f t="shared" si="4"/>
        <v>0</v>
      </c>
      <c r="J23" s="189">
        <f t="shared" si="4"/>
        <v>0</v>
      </c>
      <c r="K23" s="189">
        <f t="shared" si="4"/>
        <v>0</v>
      </c>
      <c r="L23" s="189">
        <f t="shared" si="4"/>
        <v>0</v>
      </c>
      <c r="M23" s="189">
        <f t="shared" si="4"/>
        <v>0</v>
      </c>
      <c r="N23" s="189">
        <f t="shared" si="4"/>
        <v>0</v>
      </c>
      <c r="O23" s="189">
        <f t="shared" si="4"/>
        <v>0</v>
      </c>
      <c r="P23" s="189">
        <f t="shared" si="4"/>
        <v>0</v>
      </c>
      <c r="Q23" s="189" t="e">
        <f t="shared" si="4"/>
        <v>#REF!</v>
      </c>
      <c r="R23" s="189" t="e">
        <f t="shared" si="4"/>
        <v>#REF!</v>
      </c>
      <c r="S23" s="189" t="e">
        <f t="shared" si="4"/>
        <v>#REF!</v>
      </c>
      <c r="T23" s="189" t="e">
        <f t="shared" si="4"/>
        <v>#REF!</v>
      </c>
      <c r="U23" s="189" t="e">
        <f t="shared" si="4"/>
        <v>#REF!</v>
      </c>
      <c r="V23" s="189" t="e">
        <f t="shared" si="4"/>
        <v>#REF!</v>
      </c>
      <c r="W23" s="189" t="e">
        <f t="shared" si="4"/>
        <v>#REF!</v>
      </c>
      <c r="X23" s="189" t="e">
        <f t="shared" si="4"/>
        <v>#REF!</v>
      </c>
      <c r="Y23" s="232">
        <f>Y21-Y22</f>
        <v>-20000</v>
      </c>
      <c r="Z23" s="189">
        <f>Z21-Z22</f>
        <v>-1666.6666666666667</v>
      </c>
      <c r="AA23" s="190"/>
      <c r="AB23" s="191"/>
    </row>
    <row r="24" spans="1:28" ht="39" customHeight="1" x14ac:dyDescent="0.25">
      <c r="A24" s="163"/>
      <c r="B24" s="164"/>
      <c r="C24" s="192"/>
      <c r="D24" s="193" t="s">
        <v>142</v>
      </c>
      <c r="E24" s="194">
        <f>(Balance+E21)-E22</f>
        <v>-20000</v>
      </c>
      <c r="F24" s="194">
        <f t="shared" ref="F24:W24" si="5">(Balance+F21)-F22</f>
        <v>0</v>
      </c>
      <c r="G24" s="194">
        <f t="shared" si="5"/>
        <v>0</v>
      </c>
      <c r="H24" s="194">
        <f t="shared" si="5"/>
        <v>0</v>
      </c>
      <c r="I24" s="194">
        <f t="shared" si="5"/>
        <v>0</v>
      </c>
      <c r="J24" s="194">
        <f t="shared" si="5"/>
        <v>0</v>
      </c>
      <c r="K24" s="194">
        <f t="shared" si="5"/>
        <v>0</v>
      </c>
      <c r="L24" s="194">
        <f t="shared" si="5"/>
        <v>0</v>
      </c>
      <c r="M24" s="194">
        <f t="shared" si="5"/>
        <v>0</v>
      </c>
      <c r="N24" s="194">
        <f t="shared" si="5"/>
        <v>0</v>
      </c>
      <c r="O24" s="194">
        <f t="shared" si="5"/>
        <v>0</v>
      </c>
      <c r="P24" s="194">
        <f t="shared" si="5"/>
        <v>0</v>
      </c>
      <c r="Q24" s="194" t="e">
        <f t="shared" si="5"/>
        <v>#REF!</v>
      </c>
      <c r="R24" s="194" t="e">
        <f t="shared" si="5"/>
        <v>#REF!</v>
      </c>
      <c r="S24" s="194" t="e">
        <f t="shared" si="5"/>
        <v>#REF!</v>
      </c>
      <c r="T24" s="194" t="e">
        <f t="shared" si="5"/>
        <v>#REF!</v>
      </c>
      <c r="U24" s="194" t="e">
        <f t="shared" si="5"/>
        <v>#REF!</v>
      </c>
      <c r="V24" s="194" t="e">
        <f t="shared" si="5"/>
        <v>#REF!</v>
      </c>
      <c r="W24" s="194" t="e">
        <f t="shared" si="5"/>
        <v>#REF!</v>
      </c>
      <c r="X24" s="194" t="e">
        <f>(Balance+X21)-X22</f>
        <v>#REF!</v>
      </c>
      <c r="Y24" s="233">
        <f>(Balance+Y21)-Y22</f>
        <v>-20000</v>
      </c>
      <c r="Z24" s="194">
        <f>(Balance+Z21)-Z22</f>
        <v>-1666.6666666666667</v>
      </c>
      <c r="AA24" s="195"/>
      <c r="AB24" s="178"/>
    </row>
    <row r="25" spans="1:28" ht="39" customHeight="1" x14ac:dyDescent="0.25">
      <c r="A25" s="163"/>
      <c r="B25" s="164"/>
      <c r="C25" s="163"/>
      <c r="D25" s="165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9"/>
      <c r="Z25" s="172"/>
      <c r="AA25" s="172"/>
      <c r="AB25" s="164"/>
    </row>
    <row r="26" spans="1:28" ht="39" customHeight="1" x14ac:dyDescent="0.25">
      <c r="A26" s="163"/>
      <c r="B26" s="164"/>
      <c r="C26" s="170"/>
      <c r="D26" s="171" t="s">
        <v>12</v>
      </c>
      <c r="E26" s="170"/>
      <c r="F26" s="196"/>
      <c r="G26" s="196"/>
      <c r="H26" s="196"/>
      <c r="I26" s="196"/>
      <c r="J26" s="196"/>
      <c r="K26" s="197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9"/>
      <c r="Z26" s="172"/>
      <c r="AA26" s="172"/>
      <c r="AB26" s="164"/>
    </row>
    <row r="27" spans="1:28" s="256" customFormat="1" ht="39" customHeight="1" x14ac:dyDescent="0.25">
      <c r="A27" s="248"/>
      <c r="B27" s="249" t="s">
        <v>143</v>
      </c>
      <c r="C27" s="250"/>
      <c r="D27" s="251" t="str">
        <f ca="1">IFERROR(__xludf.DUMMYFUNCTION("unique(Income!B:B)"),"")</f>
        <v/>
      </c>
      <c r="E27" s="276">
        <f>+Income!F1</f>
        <v>45839</v>
      </c>
      <c r="F27" s="276">
        <f>+Income!G1</f>
        <v>45870</v>
      </c>
      <c r="G27" s="276">
        <f>+Income!H1</f>
        <v>45901</v>
      </c>
      <c r="H27" s="276">
        <f>+Income!I1</f>
        <v>45931</v>
      </c>
      <c r="I27" s="276">
        <f>+Income!J1</f>
        <v>45962</v>
      </c>
      <c r="J27" s="276">
        <f>+Income!K1</f>
        <v>45992</v>
      </c>
      <c r="K27" s="276">
        <f>+Income!L1</f>
        <v>46023</v>
      </c>
      <c r="L27" s="276">
        <f>+Income!M1</f>
        <v>46054</v>
      </c>
      <c r="M27" s="276">
        <f>+Income!N1</f>
        <v>46082</v>
      </c>
      <c r="N27" s="276">
        <f>+Income!O1</f>
        <v>46113</v>
      </c>
      <c r="O27" s="276">
        <f>+Income!P1</f>
        <v>46143</v>
      </c>
      <c r="P27" s="276">
        <f>+Income!Q1</f>
        <v>46174</v>
      </c>
      <c r="Q27" s="252" t="e">
        <f>+Income!#REF!</f>
        <v>#REF!</v>
      </c>
      <c r="R27" s="252" t="e">
        <f>+Income!#REF!</f>
        <v>#REF!</v>
      </c>
      <c r="S27" s="252" t="e">
        <f>+Income!#REF!</f>
        <v>#REF!</v>
      </c>
      <c r="T27" s="252" t="e">
        <f>+Income!#REF!</f>
        <v>#REF!</v>
      </c>
      <c r="U27" s="252" t="e">
        <f>+Income!#REF!</f>
        <v>#REF!</v>
      </c>
      <c r="V27" s="252" t="e">
        <f>+Income!#REF!</f>
        <v>#REF!</v>
      </c>
      <c r="W27" s="252" t="e">
        <f>+Income!#REF!</f>
        <v>#REF!</v>
      </c>
      <c r="X27" s="252" t="e">
        <f>+Income!#REF!</f>
        <v>#REF!</v>
      </c>
      <c r="Y27" s="253" t="s">
        <v>13</v>
      </c>
      <c r="Z27" s="254" t="s">
        <v>14</v>
      </c>
      <c r="AA27" s="255"/>
      <c r="AB27" s="248"/>
    </row>
    <row r="28" spans="1:28" ht="39" customHeight="1" x14ac:dyDescent="0.25">
      <c r="A28" s="163"/>
      <c r="B28" s="198">
        <v>2</v>
      </c>
      <c r="C28" s="199"/>
      <c r="D28" s="200" t="str">
        <f ca="1">IFERROR(__xludf.DUMMYFUNCTION("""COMPUTED_VALUE"""),"Pendapatan Operasional")</f>
        <v>Pendapatan Operasional</v>
      </c>
      <c r="E28" s="176">
        <f>+Income!F2</f>
        <v>0</v>
      </c>
      <c r="F28" s="176">
        <f>+Income!G2</f>
        <v>0</v>
      </c>
      <c r="G28" s="176">
        <f>+Income!H2</f>
        <v>0</v>
      </c>
      <c r="H28" s="176">
        <f>+Income!I2</f>
        <v>0</v>
      </c>
      <c r="I28" s="176">
        <f>+Income!J2</f>
        <v>0</v>
      </c>
      <c r="J28" s="176">
        <f>+Income!K2</f>
        <v>0</v>
      </c>
      <c r="K28" s="176">
        <f>+Income!L2</f>
        <v>0</v>
      </c>
      <c r="L28" s="176">
        <f>+Income!M2</f>
        <v>0</v>
      </c>
      <c r="M28" s="176">
        <f>+Income!N2</f>
        <v>0</v>
      </c>
      <c r="N28" s="176">
        <f>+Income!O2</f>
        <v>0</v>
      </c>
      <c r="O28" s="176">
        <f>+Income!P2</f>
        <v>0</v>
      </c>
      <c r="P28" s="176">
        <f>+Income!Q2</f>
        <v>0</v>
      </c>
      <c r="Q28" s="176" t="e">
        <f>+Income!#REF!</f>
        <v>#REF!</v>
      </c>
      <c r="R28" s="176" t="e">
        <f>+Income!#REF!</f>
        <v>#REF!</v>
      </c>
      <c r="S28" s="176" t="e">
        <f>+Income!#REF!</f>
        <v>#REF!</v>
      </c>
      <c r="T28" s="176" t="e">
        <f>+Income!#REF!</f>
        <v>#REF!</v>
      </c>
      <c r="U28" s="176" t="e">
        <f>+Income!#REF!</f>
        <v>#REF!</v>
      </c>
      <c r="V28" s="176" t="e">
        <f>+Income!#REF!</f>
        <v>#REF!</v>
      </c>
      <c r="W28" s="176" t="e">
        <f>+Income!#REF!</f>
        <v>#REF!</v>
      </c>
      <c r="X28" s="176" t="e">
        <f>+Income!#REF!</f>
        <v>#REF!</v>
      </c>
      <c r="Y28" s="230">
        <f>+Income!R2</f>
        <v>0</v>
      </c>
      <c r="Z28" s="176">
        <f>+Income!S2</f>
        <v>0</v>
      </c>
      <c r="AA28" s="177"/>
      <c r="AB28" s="201"/>
    </row>
    <row r="29" spans="1:28" ht="39" customHeight="1" x14ac:dyDescent="0.25">
      <c r="A29" s="163"/>
      <c r="B29" s="202">
        <v>8</v>
      </c>
      <c r="C29" s="203"/>
      <c r="D29" s="204" t="str">
        <f ca="1">IFERROR(__xludf.DUMMYFUNCTION("""COMPUTED_VALUE"""),"Pendapatan Lain-Lain")</f>
        <v>Pendapatan Lain-Lain</v>
      </c>
      <c r="E29" s="205">
        <f>+Income!F8</f>
        <v>0</v>
      </c>
      <c r="F29" s="205">
        <f>+Income!G8</f>
        <v>0</v>
      </c>
      <c r="G29" s="205">
        <f>+Income!H8</f>
        <v>0</v>
      </c>
      <c r="H29" s="205">
        <f>+Income!I8</f>
        <v>0</v>
      </c>
      <c r="I29" s="205">
        <f>+Income!J8</f>
        <v>0</v>
      </c>
      <c r="J29" s="205">
        <f>+Income!K8</f>
        <v>0</v>
      </c>
      <c r="K29" s="205">
        <f>+Income!L8</f>
        <v>0</v>
      </c>
      <c r="L29" s="205">
        <f>+Income!M8</f>
        <v>0</v>
      </c>
      <c r="M29" s="205">
        <f>+Income!N8</f>
        <v>0</v>
      </c>
      <c r="N29" s="205">
        <f>+Income!O8</f>
        <v>0</v>
      </c>
      <c r="O29" s="205">
        <f>+Income!P8</f>
        <v>0</v>
      </c>
      <c r="P29" s="205">
        <f>+Income!Q8</f>
        <v>0</v>
      </c>
      <c r="Q29" s="205" t="e">
        <f>+Income!#REF!</f>
        <v>#REF!</v>
      </c>
      <c r="R29" s="205" t="e">
        <f>+Income!#REF!</f>
        <v>#REF!</v>
      </c>
      <c r="S29" s="205" t="e">
        <f>+Income!#REF!</f>
        <v>#REF!</v>
      </c>
      <c r="T29" s="205" t="e">
        <f>+Income!#REF!</f>
        <v>#REF!</v>
      </c>
      <c r="U29" s="205" t="e">
        <f>+Income!#REF!</f>
        <v>#REF!</v>
      </c>
      <c r="V29" s="205" t="e">
        <f>+Income!#REF!</f>
        <v>#REF!</v>
      </c>
      <c r="W29" s="205" t="e">
        <f>+Income!#REF!</f>
        <v>#REF!</v>
      </c>
      <c r="X29" s="205" t="e">
        <f>+Income!#REF!</f>
        <v>#REF!</v>
      </c>
      <c r="Y29" s="234">
        <f>+Income!R8</f>
        <v>0</v>
      </c>
      <c r="Z29" s="205">
        <f>+Income!S8</f>
        <v>0</v>
      </c>
      <c r="AA29" s="195"/>
      <c r="AB29" s="201"/>
    </row>
    <row r="30" spans="1:28" ht="39" hidden="1" customHeight="1" x14ac:dyDescent="0.25">
      <c r="A30" s="163"/>
      <c r="B30" s="164"/>
      <c r="C30" s="206"/>
      <c r="D30" s="207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35"/>
      <c r="Z30" s="209"/>
      <c r="AA30" s="210"/>
      <c r="AB30" s="178"/>
    </row>
    <row r="31" spans="1:28" ht="39" hidden="1" customHeight="1" x14ac:dyDescent="0.25">
      <c r="A31" s="163"/>
      <c r="B31" s="164"/>
      <c r="C31" s="170"/>
      <c r="D31" s="171" t="s">
        <v>42</v>
      </c>
      <c r="E31" s="170"/>
      <c r="F31" s="197"/>
      <c r="G31" s="197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236"/>
      <c r="Z31" s="211"/>
      <c r="AA31" s="210"/>
      <c r="AB31" s="164"/>
    </row>
    <row r="32" spans="1:28" s="256" customFormat="1" ht="39" customHeight="1" x14ac:dyDescent="0.25">
      <c r="A32" s="248"/>
      <c r="B32" s="249" t="s">
        <v>143</v>
      </c>
      <c r="C32" s="250"/>
      <c r="D32" s="251" t="str">
        <f ca="1">IFERROR(__xludf.DUMMYFUNCTION("unique(Expenses!B:B)"),"")</f>
        <v/>
      </c>
      <c r="E32" s="276">
        <f>+Income!F1</f>
        <v>45839</v>
      </c>
      <c r="F32" s="276">
        <f>+Income!G1</f>
        <v>45870</v>
      </c>
      <c r="G32" s="276">
        <f>+Income!H1</f>
        <v>45901</v>
      </c>
      <c r="H32" s="276">
        <f>+Income!I1</f>
        <v>45931</v>
      </c>
      <c r="I32" s="276">
        <f>+Income!J1</f>
        <v>45962</v>
      </c>
      <c r="J32" s="276">
        <f>+Income!K1</f>
        <v>45992</v>
      </c>
      <c r="K32" s="276">
        <f>+Income!L1</f>
        <v>46023</v>
      </c>
      <c r="L32" s="276">
        <f>+Income!M1</f>
        <v>46054</v>
      </c>
      <c r="M32" s="276">
        <f>+Income!N1</f>
        <v>46082</v>
      </c>
      <c r="N32" s="276">
        <f>+Income!O1</f>
        <v>46113</v>
      </c>
      <c r="O32" s="276">
        <f>+Income!P1</f>
        <v>46143</v>
      </c>
      <c r="P32" s="276">
        <f>+Income!Q1</f>
        <v>46174</v>
      </c>
      <c r="Q32" s="252" t="e">
        <f>+Expenses!#REF!</f>
        <v>#REF!</v>
      </c>
      <c r="R32" s="252" t="e">
        <f>+Expenses!#REF!</f>
        <v>#REF!</v>
      </c>
      <c r="S32" s="252" t="e">
        <f>+Expenses!#REF!</f>
        <v>#REF!</v>
      </c>
      <c r="T32" s="252" t="e">
        <f>+Expenses!#REF!</f>
        <v>#REF!</v>
      </c>
      <c r="U32" s="252" t="e">
        <f>+Expenses!#REF!</f>
        <v>#REF!</v>
      </c>
      <c r="V32" s="252" t="e">
        <f>+Expenses!#REF!</f>
        <v>#REF!</v>
      </c>
      <c r="W32" s="252" t="e">
        <f>+Expenses!#REF!</f>
        <v>#REF!</v>
      </c>
      <c r="X32" s="252" t="e">
        <f>+Expenses!#REF!</f>
        <v>#REF!</v>
      </c>
      <c r="Y32" s="253" t="s">
        <v>13</v>
      </c>
      <c r="Z32" s="254" t="s">
        <v>14</v>
      </c>
      <c r="AA32" s="255"/>
      <c r="AB32" s="248"/>
    </row>
    <row r="33" spans="1:28" ht="39" customHeight="1" x14ac:dyDescent="0.25">
      <c r="A33" s="163"/>
      <c r="B33" s="212">
        <v>2</v>
      </c>
      <c r="C33" s="199"/>
      <c r="D33" s="200" t="str">
        <f ca="1">IFERROR(__xludf.DUMMYFUNCTION("""COMPUTED_VALUE"""),"Beban Gaji")</f>
        <v>Beban Gaji</v>
      </c>
      <c r="E33" s="176">
        <f>Expenses!F2</f>
        <v>0</v>
      </c>
      <c r="F33" s="176">
        <f>Expenses!G2</f>
        <v>0</v>
      </c>
      <c r="G33" s="176">
        <f>Expenses!H2</f>
        <v>0</v>
      </c>
      <c r="H33" s="176">
        <f>Expenses!I2</f>
        <v>0</v>
      </c>
      <c r="I33" s="176">
        <f>Expenses!J2</f>
        <v>0</v>
      </c>
      <c r="J33" s="176">
        <f>Expenses!K2</f>
        <v>0</v>
      </c>
      <c r="K33" s="176">
        <f>Expenses!L2</f>
        <v>0</v>
      </c>
      <c r="L33" s="176">
        <f>Expenses!M2</f>
        <v>0</v>
      </c>
      <c r="M33" s="176">
        <f>Expenses!N2</f>
        <v>0</v>
      </c>
      <c r="N33" s="176">
        <f>Expenses!O2</f>
        <v>0</v>
      </c>
      <c r="O33" s="176">
        <f>Expenses!P2</f>
        <v>0</v>
      </c>
      <c r="P33" s="176">
        <f>Expenses!Q2</f>
        <v>0</v>
      </c>
      <c r="Q33" s="176" t="e">
        <f>Expenses!#REF!</f>
        <v>#REF!</v>
      </c>
      <c r="R33" s="176" t="e">
        <f>Expenses!#REF!</f>
        <v>#REF!</v>
      </c>
      <c r="S33" s="176" t="e">
        <f>Expenses!#REF!</f>
        <v>#REF!</v>
      </c>
      <c r="T33" s="176" t="e">
        <f>Expenses!#REF!</f>
        <v>#REF!</v>
      </c>
      <c r="U33" s="176" t="e">
        <f>Expenses!#REF!</f>
        <v>#REF!</v>
      </c>
      <c r="V33" s="176" t="e">
        <f>Expenses!#REF!</f>
        <v>#REF!</v>
      </c>
      <c r="W33" s="176" t="e">
        <f>Expenses!#REF!</f>
        <v>#REF!</v>
      </c>
      <c r="X33" s="176" t="e">
        <f>Expenses!#REF!</f>
        <v>#REF!</v>
      </c>
      <c r="Y33" s="230">
        <f>Expenses!R2</f>
        <v>0</v>
      </c>
      <c r="Z33" s="176">
        <f>Expenses!S2</f>
        <v>0</v>
      </c>
      <c r="AA33" s="213"/>
      <c r="AB33" s="214"/>
    </row>
    <row r="34" spans="1:28" ht="39" customHeight="1" x14ac:dyDescent="0.25">
      <c r="A34" s="163"/>
      <c r="B34" s="212">
        <v>7</v>
      </c>
      <c r="C34" s="203"/>
      <c r="D34" s="204" t="str">
        <f ca="1">IFERROR(__xludf.DUMMYFUNCTION("""COMPUTED_VALUE"""),"Beban Akademik Operasional")</f>
        <v>Beban Akademik Operasional</v>
      </c>
      <c r="E34" s="205">
        <f>Expenses!F7</f>
        <v>20000</v>
      </c>
      <c r="F34" s="205">
        <f>Expenses!G7</f>
        <v>0</v>
      </c>
      <c r="G34" s="205">
        <f>Expenses!H7</f>
        <v>0</v>
      </c>
      <c r="H34" s="205">
        <f>Expenses!I7</f>
        <v>0</v>
      </c>
      <c r="I34" s="205">
        <f>Expenses!J7</f>
        <v>0</v>
      </c>
      <c r="J34" s="205">
        <f>Expenses!K7</f>
        <v>0</v>
      </c>
      <c r="K34" s="205">
        <f>Expenses!L7</f>
        <v>0</v>
      </c>
      <c r="L34" s="205">
        <f>Expenses!M7</f>
        <v>0</v>
      </c>
      <c r="M34" s="205">
        <f>Expenses!N7</f>
        <v>0</v>
      </c>
      <c r="N34" s="205">
        <f>Expenses!O7</f>
        <v>0</v>
      </c>
      <c r="O34" s="205">
        <f>Expenses!P7</f>
        <v>0</v>
      </c>
      <c r="P34" s="205">
        <f>Expenses!Q7</f>
        <v>0</v>
      </c>
      <c r="Q34" s="205" t="e">
        <f>Expenses!#REF!</f>
        <v>#REF!</v>
      </c>
      <c r="R34" s="205" t="e">
        <f>Expenses!#REF!</f>
        <v>#REF!</v>
      </c>
      <c r="S34" s="205" t="e">
        <f>Expenses!#REF!</f>
        <v>#REF!</v>
      </c>
      <c r="T34" s="205" t="e">
        <f>Expenses!#REF!</f>
        <v>#REF!</v>
      </c>
      <c r="U34" s="205" t="e">
        <f>Expenses!#REF!</f>
        <v>#REF!</v>
      </c>
      <c r="V34" s="205" t="e">
        <f>Expenses!#REF!</f>
        <v>#REF!</v>
      </c>
      <c r="W34" s="205" t="e">
        <f>Expenses!#REF!</f>
        <v>#REF!</v>
      </c>
      <c r="X34" s="205" t="e">
        <f>Expenses!#REF!</f>
        <v>#REF!</v>
      </c>
      <c r="Y34" s="234">
        <f>Expenses!R7</f>
        <v>20000</v>
      </c>
      <c r="Z34" s="205">
        <f>Expenses!S7</f>
        <v>1666.6666666666667</v>
      </c>
      <c r="AA34" s="215"/>
      <c r="AB34" s="214"/>
    </row>
    <row r="35" spans="1:28" ht="39" customHeight="1" x14ac:dyDescent="0.25">
      <c r="A35" s="163"/>
      <c r="B35" s="212">
        <v>45</v>
      </c>
      <c r="C35" s="203"/>
      <c r="D35" s="204" t="str">
        <f ca="1">IFERROR(__xludf.DUMMYFUNCTION("""COMPUTED_VALUE"""),"Beban Kantor Umum")</f>
        <v>Beban Kantor Umum</v>
      </c>
      <c r="E35" s="205">
        <f>Expenses!F45</f>
        <v>0</v>
      </c>
      <c r="F35" s="205">
        <f>Expenses!G45</f>
        <v>0</v>
      </c>
      <c r="G35" s="205">
        <f>Expenses!H45</f>
        <v>0</v>
      </c>
      <c r="H35" s="205">
        <f>Expenses!I45</f>
        <v>0</v>
      </c>
      <c r="I35" s="205">
        <f>Expenses!J45</f>
        <v>0</v>
      </c>
      <c r="J35" s="205">
        <f>Expenses!K45</f>
        <v>0</v>
      </c>
      <c r="K35" s="205">
        <f>Expenses!L45</f>
        <v>0</v>
      </c>
      <c r="L35" s="205">
        <f>Expenses!M45</f>
        <v>0</v>
      </c>
      <c r="M35" s="205">
        <f>Expenses!N45</f>
        <v>0</v>
      </c>
      <c r="N35" s="205">
        <f>Expenses!O45</f>
        <v>0</v>
      </c>
      <c r="O35" s="205">
        <f>Expenses!P45</f>
        <v>0</v>
      </c>
      <c r="P35" s="205">
        <f>Expenses!Q45</f>
        <v>0</v>
      </c>
      <c r="Q35" s="205" t="e">
        <f>Expenses!#REF!</f>
        <v>#REF!</v>
      </c>
      <c r="R35" s="205" t="e">
        <f>Expenses!#REF!</f>
        <v>#REF!</v>
      </c>
      <c r="S35" s="205" t="e">
        <f>Expenses!#REF!</f>
        <v>#REF!</v>
      </c>
      <c r="T35" s="205" t="e">
        <f>Expenses!#REF!</f>
        <v>#REF!</v>
      </c>
      <c r="U35" s="205" t="e">
        <f>Expenses!#REF!</f>
        <v>#REF!</v>
      </c>
      <c r="V35" s="205" t="e">
        <f>Expenses!#REF!</f>
        <v>#REF!</v>
      </c>
      <c r="W35" s="205" t="e">
        <f>Expenses!#REF!</f>
        <v>#REF!</v>
      </c>
      <c r="X35" s="205" t="e">
        <f>Expenses!#REF!</f>
        <v>#REF!</v>
      </c>
      <c r="Y35" s="234">
        <f>Expenses!R45</f>
        <v>0</v>
      </c>
      <c r="Z35" s="205">
        <f>Expenses!S45</f>
        <v>0</v>
      </c>
      <c r="AA35" s="215"/>
      <c r="AB35" s="214"/>
    </row>
    <row r="36" spans="1:28" ht="39" customHeight="1" x14ac:dyDescent="0.25">
      <c r="A36" s="163"/>
      <c r="B36" s="212">
        <v>71</v>
      </c>
      <c r="C36" s="203"/>
      <c r="D36" s="204" t="str">
        <f ca="1">IFERROR(__xludf.DUMMYFUNCTION("""COMPUTED_VALUE"""),"Beban Pemeliharaan")</f>
        <v>Beban Pemeliharaan</v>
      </c>
      <c r="E36" s="205">
        <f>Expenses!F71</f>
        <v>0</v>
      </c>
      <c r="F36" s="205">
        <f>Expenses!G71</f>
        <v>0</v>
      </c>
      <c r="G36" s="205">
        <f>Expenses!H71</f>
        <v>0</v>
      </c>
      <c r="H36" s="205">
        <f>Expenses!I71</f>
        <v>0</v>
      </c>
      <c r="I36" s="205">
        <f>Expenses!J71</f>
        <v>0</v>
      </c>
      <c r="J36" s="205">
        <f>Expenses!K71</f>
        <v>0</v>
      </c>
      <c r="K36" s="205">
        <f>Expenses!L71</f>
        <v>0</v>
      </c>
      <c r="L36" s="205">
        <f>Expenses!M71</f>
        <v>0</v>
      </c>
      <c r="M36" s="205">
        <f>Expenses!N71</f>
        <v>0</v>
      </c>
      <c r="N36" s="205">
        <f>Expenses!O71</f>
        <v>0</v>
      </c>
      <c r="O36" s="205">
        <f>Expenses!P71</f>
        <v>0</v>
      </c>
      <c r="P36" s="205">
        <f>Expenses!Q71</f>
        <v>0</v>
      </c>
      <c r="Q36" s="205" t="e">
        <f>Expenses!#REF!</f>
        <v>#REF!</v>
      </c>
      <c r="R36" s="205" t="e">
        <f>Expenses!#REF!</f>
        <v>#REF!</v>
      </c>
      <c r="S36" s="205" t="e">
        <f>Expenses!#REF!</f>
        <v>#REF!</v>
      </c>
      <c r="T36" s="205" t="e">
        <f>Expenses!#REF!</f>
        <v>#REF!</v>
      </c>
      <c r="U36" s="205" t="e">
        <f>Expenses!#REF!</f>
        <v>#REF!</v>
      </c>
      <c r="V36" s="205" t="e">
        <f>Expenses!#REF!</f>
        <v>#REF!</v>
      </c>
      <c r="W36" s="205" t="e">
        <f>Expenses!#REF!</f>
        <v>#REF!</v>
      </c>
      <c r="X36" s="205" t="e">
        <f>Expenses!#REF!</f>
        <v>#REF!</v>
      </c>
      <c r="Y36" s="234">
        <f>Expenses!R71</f>
        <v>0</v>
      </c>
      <c r="Z36" s="205">
        <f>Expenses!S71</f>
        <v>0</v>
      </c>
      <c r="AA36" s="215"/>
      <c r="AB36" s="214"/>
    </row>
    <row r="37" spans="1:28" ht="39" customHeight="1" x14ac:dyDescent="0.25">
      <c r="A37" s="163"/>
      <c r="B37" s="212">
        <v>79</v>
      </c>
      <c r="C37" s="203"/>
      <c r="D37" s="204" t="str">
        <f ca="1">IFERROR(__xludf.DUMMYFUNCTION("""COMPUTED_VALUE"""),"Beban Marketing")</f>
        <v>Beban Marketing</v>
      </c>
      <c r="E37" s="205">
        <f>Expenses!F79</f>
        <v>0</v>
      </c>
      <c r="F37" s="205">
        <f>Expenses!G79</f>
        <v>0</v>
      </c>
      <c r="G37" s="205">
        <f>Expenses!H79</f>
        <v>0</v>
      </c>
      <c r="H37" s="205">
        <f>Expenses!I79</f>
        <v>0</v>
      </c>
      <c r="I37" s="205">
        <f>Expenses!J79</f>
        <v>0</v>
      </c>
      <c r="J37" s="205">
        <f>Expenses!K79</f>
        <v>0</v>
      </c>
      <c r="K37" s="205">
        <f>Expenses!L79</f>
        <v>0</v>
      </c>
      <c r="L37" s="205">
        <f>Expenses!M79</f>
        <v>0</v>
      </c>
      <c r="M37" s="205">
        <f>Expenses!N79</f>
        <v>0</v>
      </c>
      <c r="N37" s="205">
        <f>Expenses!O79</f>
        <v>0</v>
      </c>
      <c r="O37" s="205">
        <f>Expenses!P79</f>
        <v>0</v>
      </c>
      <c r="P37" s="205">
        <f>Expenses!Q79</f>
        <v>0</v>
      </c>
      <c r="Q37" s="205" t="e">
        <f>Expenses!#REF!</f>
        <v>#REF!</v>
      </c>
      <c r="R37" s="205" t="e">
        <f>Expenses!#REF!</f>
        <v>#REF!</v>
      </c>
      <c r="S37" s="205" t="e">
        <f>Expenses!#REF!</f>
        <v>#REF!</v>
      </c>
      <c r="T37" s="205" t="e">
        <f>Expenses!#REF!</f>
        <v>#REF!</v>
      </c>
      <c r="U37" s="205" t="e">
        <f>Expenses!#REF!</f>
        <v>#REF!</v>
      </c>
      <c r="V37" s="205" t="e">
        <f>Expenses!#REF!</f>
        <v>#REF!</v>
      </c>
      <c r="W37" s="205" t="e">
        <f>Expenses!#REF!</f>
        <v>#REF!</v>
      </c>
      <c r="X37" s="205" t="e">
        <f>Expenses!#REF!</f>
        <v>#REF!</v>
      </c>
      <c r="Y37" s="234">
        <f>Expenses!R79</f>
        <v>0</v>
      </c>
      <c r="Z37" s="205">
        <f>Expenses!S79</f>
        <v>0</v>
      </c>
      <c r="AA37" s="215"/>
      <c r="AB37" s="214"/>
    </row>
    <row r="38" spans="1:28" ht="39" customHeight="1" x14ac:dyDescent="0.25">
      <c r="A38" s="163"/>
      <c r="B38" s="212">
        <v>84</v>
      </c>
      <c r="C38" s="203"/>
      <c r="D38" s="204" t="str">
        <f ca="1">IFERROR(__xludf.DUMMYFUNCTION("""COMPUTED_VALUE"""),"Beban Asuransi")</f>
        <v>Beban Asuransi</v>
      </c>
      <c r="E38" s="205">
        <f>Expenses!F84</f>
        <v>0</v>
      </c>
      <c r="F38" s="205">
        <f>Expenses!G84</f>
        <v>0</v>
      </c>
      <c r="G38" s="205">
        <f>Expenses!H84</f>
        <v>0</v>
      </c>
      <c r="H38" s="205">
        <f>Expenses!I84</f>
        <v>0</v>
      </c>
      <c r="I38" s="205">
        <f>Expenses!J84</f>
        <v>0</v>
      </c>
      <c r="J38" s="205">
        <f>Expenses!K84</f>
        <v>0</v>
      </c>
      <c r="K38" s="205">
        <f>Expenses!L84</f>
        <v>0</v>
      </c>
      <c r="L38" s="205">
        <f>Expenses!M84</f>
        <v>0</v>
      </c>
      <c r="M38" s="205">
        <f>Expenses!N84</f>
        <v>0</v>
      </c>
      <c r="N38" s="205">
        <f>Expenses!O84</f>
        <v>0</v>
      </c>
      <c r="O38" s="205">
        <f>Expenses!P84</f>
        <v>0</v>
      </c>
      <c r="P38" s="205">
        <f>Expenses!Q84</f>
        <v>0</v>
      </c>
      <c r="Q38" s="205" t="e">
        <f>Expenses!#REF!</f>
        <v>#REF!</v>
      </c>
      <c r="R38" s="205" t="e">
        <f>Expenses!#REF!</f>
        <v>#REF!</v>
      </c>
      <c r="S38" s="205" t="e">
        <f>Expenses!#REF!</f>
        <v>#REF!</v>
      </c>
      <c r="T38" s="205" t="e">
        <f>Expenses!#REF!</f>
        <v>#REF!</v>
      </c>
      <c r="U38" s="205" t="e">
        <f>Expenses!#REF!</f>
        <v>#REF!</v>
      </c>
      <c r="V38" s="205" t="e">
        <f>Expenses!#REF!</f>
        <v>#REF!</v>
      </c>
      <c r="W38" s="205" t="e">
        <f>Expenses!#REF!</f>
        <v>#REF!</v>
      </c>
      <c r="X38" s="205" t="e">
        <f>Expenses!#REF!</f>
        <v>#REF!</v>
      </c>
      <c r="Y38" s="234">
        <f>Expenses!R84</f>
        <v>0</v>
      </c>
      <c r="Z38" s="205">
        <f>Expenses!S84</f>
        <v>0</v>
      </c>
      <c r="AA38" s="215"/>
      <c r="AB38" s="214"/>
    </row>
    <row r="39" spans="1:28" ht="39" customHeight="1" x14ac:dyDescent="0.25">
      <c r="A39" s="163"/>
      <c r="B39" s="212">
        <v>89</v>
      </c>
      <c r="C39" s="203"/>
      <c r="D39" s="204" t="str">
        <f ca="1">IFERROR(__xludf.DUMMYFUNCTION("""COMPUTED_VALUE"""),"Beban Penghapusan Piutang Mahasiswa")</f>
        <v>Beban Penghapusan Piutang Mahasiswa</v>
      </c>
      <c r="E39" s="205">
        <f>Expenses!F89</f>
        <v>0</v>
      </c>
      <c r="F39" s="205">
        <f>Expenses!G89</f>
        <v>0</v>
      </c>
      <c r="G39" s="205">
        <f>Expenses!H89</f>
        <v>0</v>
      </c>
      <c r="H39" s="205">
        <f>Expenses!I89</f>
        <v>0</v>
      </c>
      <c r="I39" s="205">
        <f>Expenses!J89</f>
        <v>0</v>
      </c>
      <c r="J39" s="205">
        <f>Expenses!K89</f>
        <v>0</v>
      </c>
      <c r="K39" s="205">
        <f>Expenses!L89</f>
        <v>0</v>
      </c>
      <c r="L39" s="205">
        <f>Expenses!M89</f>
        <v>0</v>
      </c>
      <c r="M39" s="205">
        <f>Expenses!N89</f>
        <v>0</v>
      </c>
      <c r="N39" s="205">
        <f>Expenses!O89</f>
        <v>0</v>
      </c>
      <c r="O39" s="205">
        <f>Expenses!P89</f>
        <v>0</v>
      </c>
      <c r="P39" s="205">
        <f>Expenses!Q89</f>
        <v>0</v>
      </c>
      <c r="Q39" s="205" t="e">
        <f>Expenses!#REF!</f>
        <v>#REF!</v>
      </c>
      <c r="R39" s="205" t="e">
        <f>Expenses!#REF!</f>
        <v>#REF!</v>
      </c>
      <c r="S39" s="205" t="e">
        <f>Expenses!#REF!</f>
        <v>#REF!</v>
      </c>
      <c r="T39" s="205" t="e">
        <f>Expenses!#REF!</f>
        <v>#REF!</v>
      </c>
      <c r="U39" s="205" t="e">
        <f>Expenses!#REF!</f>
        <v>#REF!</v>
      </c>
      <c r="V39" s="205" t="e">
        <f>Expenses!#REF!</f>
        <v>#REF!</v>
      </c>
      <c r="W39" s="205" t="e">
        <f>Expenses!#REF!</f>
        <v>#REF!</v>
      </c>
      <c r="X39" s="205" t="e">
        <f>Expenses!#REF!</f>
        <v>#REF!</v>
      </c>
      <c r="Y39" s="234">
        <f>Expenses!R89</f>
        <v>0</v>
      </c>
      <c r="Z39" s="205">
        <f>Expenses!S89</f>
        <v>0</v>
      </c>
      <c r="AA39" s="215"/>
      <c r="AB39" s="214"/>
    </row>
    <row r="40" spans="1:28" ht="39" customHeight="1" x14ac:dyDescent="0.25">
      <c r="A40" s="163"/>
      <c r="B40" s="212">
        <v>93</v>
      </c>
      <c r="C40" s="203"/>
      <c r="D40" s="204" t="str">
        <f ca="1">IFERROR(__xludf.DUMMYFUNCTION("""COMPUTED_VALUE"""),"Beban Sertifikasi &amp; Proyek lainnya")</f>
        <v>Beban Sertifikasi &amp; Proyek lainnya</v>
      </c>
      <c r="E40" s="205">
        <f>Expenses!F93</f>
        <v>0</v>
      </c>
      <c r="F40" s="205">
        <f>Expenses!G93</f>
        <v>0</v>
      </c>
      <c r="G40" s="205">
        <f>Expenses!H93</f>
        <v>0</v>
      </c>
      <c r="H40" s="205">
        <f>Expenses!I93</f>
        <v>0</v>
      </c>
      <c r="I40" s="205">
        <f>Expenses!J93</f>
        <v>0</v>
      </c>
      <c r="J40" s="205">
        <f>Expenses!K93</f>
        <v>0</v>
      </c>
      <c r="K40" s="205">
        <f>Expenses!L93</f>
        <v>0</v>
      </c>
      <c r="L40" s="205">
        <f>Expenses!M93</f>
        <v>0</v>
      </c>
      <c r="M40" s="205">
        <f>Expenses!N93</f>
        <v>0</v>
      </c>
      <c r="N40" s="205">
        <f>Expenses!O93</f>
        <v>0</v>
      </c>
      <c r="O40" s="205">
        <f>Expenses!P93</f>
        <v>0</v>
      </c>
      <c r="P40" s="205">
        <f>Expenses!Q93</f>
        <v>0</v>
      </c>
      <c r="Q40" s="205" t="e">
        <f>Expenses!#REF!</f>
        <v>#REF!</v>
      </c>
      <c r="R40" s="205" t="e">
        <f>Expenses!#REF!</f>
        <v>#REF!</v>
      </c>
      <c r="S40" s="205" t="e">
        <f>Expenses!#REF!</f>
        <v>#REF!</v>
      </c>
      <c r="T40" s="205" t="e">
        <f>Expenses!#REF!</f>
        <v>#REF!</v>
      </c>
      <c r="U40" s="205" t="e">
        <f>Expenses!#REF!</f>
        <v>#REF!</v>
      </c>
      <c r="V40" s="205" t="e">
        <f>Expenses!#REF!</f>
        <v>#REF!</v>
      </c>
      <c r="W40" s="205" t="e">
        <f>Expenses!#REF!</f>
        <v>#REF!</v>
      </c>
      <c r="X40" s="205" t="e">
        <f>Expenses!#REF!</f>
        <v>#REF!</v>
      </c>
      <c r="Y40" s="234">
        <f>Expenses!R93</f>
        <v>0</v>
      </c>
      <c r="Z40" s="205">
        <f>Expenses!S93</f>
        <v>0</v>
      </c>
      <c r="AA40" s="215"/>
      <c r="AB40" s="214"/>
    </row>
    <row r="41" spans="1:28" ht="39" customHeight="1" x14ac:dyDescent="0.25">
      <c r="A41" s="163"/>
      <c r="B41" s="212">
        <v>97</v>
      </c>
      <c r="C41" s="203"/>
      <c r="D41" s="204" t="str">
        <f ca="1">IFERROR(__xludf.DUMMYFUNCTION("""COMPUTED_VALUE"""),"Beban Pasca Kerja")</f>
        <v>Beban Pasca Kerja</v>
      </c>
      <c r="E41" s="205">
        <f>Expenses!F97</f>
        <v>0</v>
      </c>
      <c r="F41" s="205">
        <f>Expenses!G97</f>
        <v>0</v>
      </c>
      <c r="G41" s="205">
        <f>Expenses!H97</f>
        <v>0</v>
      </c>
      <c r="H41" s="205">
        <f>Expenses!I97</f>
        <v>0</v>
      </c>
      <c r="I41" s="205">
        <f>Expenses!J97</f>
        <v>0</v>
      </c>
      <c r="J41" s="205">
        <f>Expenses!K97</f>
        <v>0</v>
      </c>
      <c r="K41" s="205">
        <f>Expenses!L97</f>
        <v>0</v>
      </c>
      <c r="L41" s="205">
        <f>Expenses!M97</f>
        <v>0</v>
      </c>
      <c r="M41" s="205">
        <f>Expenses!N97</f>
        <v>0</v>
      </c>
      <c r="N41" s="205">
        <f>Expenses!O97</f>
        <v>0</v>
      </c>
      <c r="O41" s="205">
        <f>Expenses!P97</f>
        <v>0</v>
      </c>
      <c r="P41" s="205">
        <f>Expenses!Q97</f>
        <v>0</v>
      </c>
      <c r="Q41" s="205" t="e">
        <f>Expenses!#REF!</f>
        <v>#REF!</v>
      </c>
      <c r="R41" s="205" t="e">
        <f>Expenses!#REF!</f>
        <v>#REF!</v>
      </c>
      <c r="S41" s="205" t="e">
        <f>Expenses!#REF!</f>
        <v>#REF!</v>
      </c>
      <c r="T41" s="205" t="e">
        <f>Expenses!#REF!</f>
        <v>#REF!</v>
      </c>
      <c r="U41" s="205" t="e">
        <f>Expenses!#REF!</f>
        <v>#REF!</v>
      </c>
      <c r="V41" s="205" t="e">
        <f>Expenses!#REF!</f>
        <v>#REF!</v>
      </c>
      <c r="W41" s="205" t="e">
        <f>Expenses!#REF!</f>
        <v>#REF!</v>
      </c>
      <c r="X41" s="205" t="e">
        <f>Expenses!#REF!</f>
        <v>#REF!</v>
      </c>
      <c r="Y41" s="234">
        <f>Expenses!R97</f>
        <v>0</v>
      </c>
      <c r="Z41" s="205">
        <f>Expenses!S97</f>
        <v>0</v>
      </c>
      <c r="AA41" s="215"/>
      <c r="AB41" s="214"/>
    </row>
    <row r="42" spans="1:28" ht="39" customHeight="1" x14ac:dyDescent="0.25">
      <c r="A42" s="163"/>
      <c r="B42" s="212">
        <v>100</v>
      </c>
      <c r="C42" s="216"/>
      <c r="D42" s="217" t="str">
        <f ca="1">IFERROR(__xludf.DUMMYFUNCTION("""COMPUTED_VALUE"""),"Beban Cadangan Pensiun &amp; THR")</f>
        <v>Beban Cadangan Pensiun &amp; THR</v>
      </c>
      <c r="E42" s="205">
        <f>Expenses!F101</f>
        <v>0</v>
      </c>
      <c r="F42" s="205">
        <f>Expenses!G101</f>
        <v>0</v>
      </c>
      <c r="G42" s="205">
        <f>Expenses!H101</f>
        <v>0</v>
      </c>
      <c r="H42" s="205">
        <f>Expenses!I101</f>
        <v>0</v>
      </c>
      <c r="I42" s="205">
        <f>Expenses!J101</f>
        <v>0</v>
      </c>
      <c r="J42" s="205">
        <f>Expenses!K101</f>
        <v>0</v>
      </c>
      <c r="K42" s="205">
        <f>Expenses!L101</f>
        <v>0</v>
      </c>
      <c r="L42" s="205">
        <f>Expenses!M101</f>
        <v>0</v>
      </c>
      <c r="M42" s="205">
        <f>Expenses!N101</f>
        <v>0</v>
      </c>
      <c r="N42" s="205">
        <f>Expenses!O101</f>
        <v>0</v>
      </c>
      <c r="O42" s="205">
        <f>Expenses!P101</f>
        <v>0</v>
      </c>
      <c r="P42" s="205">
        <f>Expenses!Q101</f>
        <v>0</v>
      </c>
      <c r="Q42" s="205" t="e">
        <f>Expenses!#REF!</f>
        <v>#REF!</v>
      </c>
      <c r="R42" s="205" t="e">
        <f>Expenses!#REF!</f>
        <v>#REF!</v>
      </c>
      <c r="S42" s="205" t="e">
        <f>Expenses!#REF!</f>
        <v>#REF!</v>
      </c>
      <c r="T42" s="205" t="e">
        <f>Expenses!#REF!</f>
        <v>#REF!</v>
      </c>
      <c r="U42" s="205" t="e">
        <f>Expenses!#REF!</f>
        <v>#REF!</v>
      </c>
      <c r="V42" s="205" t="e">
        <f>Expenses!#REF!</f>
        <v>#REF!</v>
      </c>
      <c r="W42" s="205" t="e">
        <f>Expenses!#REF!</f>
        <v>#REF!</v>
      </c>
      <c r="X42" s="205" t="e">
        <f>Expenses!#REF!</f>
        <v>#REF!</v>
      </c>
      <c r="Y42" s="234">
        <f>Expenses!R101</f>
        <v>0</v>
      </c>
      <c r="Z42" s="205">
        <f>Expenses!S101</f>
        <v>0</v>
      </c>
      <c r="AA42" s="218"/>
      <c r="AB42" s="219"/>
    </row>
    <row r="43" spans="1:28" ht="39" customHeight="1" x14ac:dyDescent="0.25">
      <c r="A43" s="163"/>
      <c r="B43" s="212">
        <v>106</v>
      </c>
      <c r="C43" s="154"/>
      <c r="D43" s="220" t="str">
        <f ca="1">IFERROR(__xludf.DUMMYFUNCTION("""COMPUTED_VALUE"""),"Beban Penyusutan")</f>
        <v>Beban Penyusutan</v>
      </c>
      <c r="E43" s="205">
        <f>Expenses!F107</f>
        <v>0</v>
      </c>
      <c r="F43" s="205">
        <f>Expenses!G107</f>
        <v>0</v>
      </c>
      <c r="G43" s="205">
        <f>Expenses!H107</f>
        <v>0</v>
      </c>
      <c r="H43" s="205">
        <f>Expenses!I107</f>
        <v>0</v>
      </c>
      <c r="I43" s="205">
        <f>Expenses!J107</f>
        <v>0</v>
      </c>
      <c r="J43" s="205">
        <f>Expenses!K107</f>
        <v>0</v>
      </c>
      <c r="K43" s="205">
        <f>Expenses!L107</f>
        <v>0</v>
      </c>
      <c r="L43" s="205">
        <f>Expenses!M107</f>
        <v>0</v>
      </c>
      <c r="M43" s="205">
        <f>Expenses!N107</f>
        <v>0</v>
      </c>
      <c r="N43" s="205">
        <f>Expenses!O107</f>
        <v>0</v>
      </c>
      <c r="O43" s="205">
        <f>Expenses!P107</f>
        <v>0</v>
      </c>
      <c r="P43" s="205">
        <f>Expenses!Q107</f>
        <v>0</v>
      </c>
      <c r="Q43" s="205" t="e">
        <f>Expenses!#REF!</f>
        <v>#REF!</v>
      </c>
      <c r="R43" s="205" t="e">
        <f>Expenses!#REF!</f>
        <v>#REF!</v>
      </c>
      <c r="S43" s="205" t="e">
        <f>Expenses!#REF!</f>
        <v>#REF!</v>
      </c>
      <c r="T43" s="205" t="e">
        <f>Expenses!#REF!</f>
        <v>#REF!</v>
      </c>
      <c r="U43" s="205" t="e">
        <f>Expenses!#REF!</f>
        <v>#REF!</v>
      </c>
      <c r="V43" s="205" t="e">
        <f>Expenses!#REF!</f>
        <v>#REF!</v>
      </c>
      <c r="W43" s="205" t="e">
        <f>Expenses!#REF!</f>
        <v>#REF!</v>
      </c>
      <c r="X43" s="205" t="e">
        <f>Expenses!#REF!</f>
        <v>#REF!</v>
      </c>
      <c r="Y43" s="234">
        <f>Expenses!R107</f>
        <v>0</v>
      </c>
      <c r="Z43" s="205">
        <f>Expenses!S107</f>
        <v>0</v>
      </c>
      <c r="AA43" s="213" t="e">
        <f>SUM(G43:Z43)</f>
        <v>#REF!</v>
      </c>
      <c r="AB43" s="163"/>
    </row>
    <row r="44" spans="1:28" ht="39" customHeight="1" x14ac:dyDescent="0.25">
      <c r="A44" s="163"/>
      <c r="B44" s="212">
        <v>111</v>
      </c>
      <c r="C44" s="221"/>
      <c r="D44" s="220" t="str">
        <f ca="1">IFERROR(__xludf.DUMMYFUNCTION("""COMPUTED_VALUE"""),"Pengeluaran Hibah")</f>
        <v>Pengeluaran Hibah</v>
      </c>
      <c r="E44" s="205">
        <f>Expenses!F112</f>
        <v>0</v>
      </c>
      <c r="F44" s="205">
        <f>Expenses!G112</f>
        <v>0</v>
      </c>
      <c r="G44" s="205">
        <f>Expenses!H112</f>
        <v>0</v>
      </c>
      <c r="H44" s="205">
        <f>Expenses!I112</f>
        <v>0</v>
      </c>
      <c r="I44" s="205">
        <f>Expenses!J112</f>
        <v>0</v>
      </c>
      <c r="J44" s="205">
        <f>Expenses!K112</f>
        <v>0</v>
      </c>
      <c r="K44" s="205">
        <f>Expenses!L112</f>
        <v>0</v>
      </c>
      <c r="L44" s="205">
        <f>Expenses!M112</f>
        <v>0</v>
      </c>
      <c r="M44" s="205">
        <f>Expenses!N112</f>
        <v>0</v>
      </c>
      <c r="N44" s="205">
        <f>Expenses!O112</f>
        <v>0</v>
      </c>
      <c r="O44" s="205">
        <f>Expenses!P112</f>
        <v>0</v>
      </c>
      <c r="P44" s="205">
        <f>Expenses!Q112</f>
        <v>0</v>
      </c>
      <c r="Q44" s="205" t="e">
        <f>Expenses!#REF!</f>
        <v>#REF!</v>
      </c>
      <c r="R44" s="205" t="e">
        <f>Expenses!#REF!</f>
        <v>#REF!</v>
      </c>
      <c r="S44" s="205" t="e">
        <f>Expenses!#REF!</f>
        <v>#REF!</v>
      </c>
      <c r="T44" s="205" t="e">
        <f>Expenses!#REF!</f>
        <v>#REF!</v>
      </c>
      <c r="U44" s="205" t="e">
        <f>Expenses!#REF!</f>
        <v>#REF!</v>
      </c>
      <c r="V44" s="205" t="e">
        <f>Expenses!#REF!</f>
        <v>#REF!</v>
      </c>
      <c r="W44" s="205" t="e">
        <f>Expenses!#REF!</f>
        <v>#REF!</v>
      </c>
      <c r="X44" s="205" t="e">
        <f>Expenses!#REF!</f>
        <v>#REF!</v>
      </c>
      <c r="Y44" s="234">
        <f>Expenses!R112</f>
        <v>0</v>
      </c>
      <c r="Z44" s="205">
        <f>Expenses!S112</f>
        <v>0</v>
      </c>
      <c r="AA44" s="222"/>
      <c r="AB44" s="163"/>
    </row>
    <row r="45" spans="1:28" ht="39" customHeight="1" x14ac:dyDescent="0.25">
      <c r="A45" s="163"/>
      <c r="B45" s="164"/>
      <c r="D45" s="223"/>
      <c r="E45" s="224" t="str">
        <f t="shared" ref="E45:E60" ca="1" si="6">IF(NOT(ISBLANK(B45)), INDIRECT("Expenses!D"&amp;B45&amp;":Q"&amp;B45),"")</f>
        <v/>
      </c>
      <c r="F45" s="225"/>
      <c r="G45" s="226"/>
      <c r="H45" s="226"/>
      <c r="I45" s="227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37"/>
      <c r="Z45" s="228"/>
      <c r="AA45" s="228"/>
      <c r="AB45" s="163"/>
    </row>
    <row r="46" spans="1:28" ht="39" customHeight="1" x14ac:dyDescent="0.25">
      <c r="A46" s="163"/>
      <c r="B46" s="164"/>
      <c r="D46" s="223"/>
      <c r="E46" s="224" t="str">
        <f t="shared" ca="1" si="6"/>
        <v/>
      </c>
      <c r="F46" s="225"/>
      <c r="G46" s="226"/>
      <c r="H46" s="226"/>
      <c r="I46" s="227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37"/>
      <c r="Z46" s="228"/>
      <c r="AA46" s="228"/>
      <c r="AB46" s="163"/>
    </row>
    <row r="47" spans="1:28" ht="39" customHeight="1" x14ac:dyDescent="0.25">
      <c r="A47" s="163"/>
      <c r="B47" s="164"/>
      <c r="D47" s="223"/>
      <c r="E47" s="224" t="str">
        <f t="shared" ca="1" si="6"/>
        <v/>
      </c>
      <c r="F47" s="225"/>
      <c r="G47" s="226"/>
      <c r="H47" s="226"/>
      <c r="I47" s="227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37"/>
      <c r="Z47" s="228"/>
      <c r="AA47" s="228"/>
      <c r="AB47" s="163"/>
    </row>
    <row r="48" spans="1:28" ht="39" customHeight="1" x14ac:dyDescent="0.25">
      <c r="A48" s="163"/>
      <c r="B48" s="164"/>
      <c r="D48" s="223"/>
      <c r="E48" s="224" t="str">
        <f t="shared" ca="1" si="6"/>
        <v/>
      </c>
      <c r="F48" s="225"/>
      <c r="G48" s="226"/>
      <c r="H48" s="226"/>
      <c r="I48" s="227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37"/>
      <c r="Z48" s="228"/>
      <c r="AA48" s="228"/>
      <c r="AB48" s="163"/>
    </row>
    <row r="49" spans="1:28" ht="39" customHeight="1" x14ac:dyDescent="0.25">
      <c r="A49" s="163"/>
      <c r="B49" s="164"/>
      <c r="C49" s="163"/>
      <c r="D49" s="165"/>
      <c r="E49" s="224" t="str">
        <f t="shared" ca="1" si="6"/>
        <v/>
      </c>
      <c r="F49" s="226"/>
      <c r="G49" s="226"/>
      <c r="H49" s="226"/>
      <c r="I49" s="227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37"/>
      <c r="Z49" s="228"/>
      <c r="AA49" s="228"/>
      <c r="AB49" s="163"/>
    </row>
    <row r="50" spans="1:28" ht="39" customHeight="1" x14ac:dyDescent="0.25">
      <c r="A50" s="163"/>
      <c r="B50" s="164"/>
      <c r="C50" s="163"/>
      <c r="D50" s="165"/>
      <c r="E50" s="224" t="str">
        <f t="shared" ca="1" si="6"/>
        <v/>
      </c>
      <c r="F50" s="226"/>
      <c r="G50" s="226"/>
      <c r="H50" s="226"/>
      <c r="I50" s="227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37"/>
      <c r="Z50" s="228"/>
      <c r="AA50" s="228"/>
      <c r="AB50" s="163"/>
    </row>
    <row r="51" spans="1:28" ht="39" customHeight="1" x14ac:dyDescent="0.25">
      <c r="A51" s="163"/>
      <c r="B51" s="164"/>
      <c r="C51" s="163"/>
      <c r="D51" s="165"/>
      <c r="E51" s="224" t="str">
        <f t="shared" ca="1" si="6"/>
        <v/>
      </c>
      <c r="F51" s="226"/>
      <c r="G51" s="226"/>
      <c r="H51" s="226"/>
      <c r="I51" s="227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37"/>
      <c r="Z51" s="228"/>
      <c r="AA51" s="228"/>
      <c r="AB51" s="163"/>
    </row>
    <row r="52" spans="1:28" ht="39" customHeight="1" x14ac:dyDescent="0.25">
      <c r="A52" s="163"/>
      <c r="B52" s="164"/>
      <c r="C52" s="163"/>
      <c r="D52" s="165"/>
      <c r="E52" s="224" t="str">
        <f t="shared" ca="1" si="6"/>
        <v/>
      </c>
      <c r="F52" s="226"/>
      <c r="G52" s="226"/>
      <c r="H52" s="226"/>
      <c r="I52" s="227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37"/>
      <c r="Z52" s="228"/>
      <c r="AA52" s="228"/>
      <c r="AB52" s="163"/>
    </row>
    <row r="53" spans="1:28" ht="39" customHeight="1" x14ac:dyDescent="0.25">
      <c r="A53" s="163"/>
      <c r="B53" s="164"/>
      <c r="C53" s="163"/>
      <c r="D53" s="165"/>
      <c r="E53" s="224" t="str">
        <f t="shared" ca="1" si="6"/>
        <v/>
      </c>
      <c r="F53" s="226"/>
      <c r="G53" s="226"/>
      <c r="H53" s="226"/>
      <c r="I53" s="227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37"/>
      <c r="Z53" s="228"/>
      <c r="AA53" s="228"/>
      <c r="AB53" s="163"/>
    </row>
    <row r="54" spans="1:28" ht="39" customHeight="1" x14ac:dyDescent="0.25">
      <c r="A54" s="163"/>
      <c r="B54" s="164"/>
      <c r="C54" s="163"/>
      <c r="D54" s="165"/>
      <c r="E54" s="224" t="str">
        <f t="shared" ca="1" si="6"/>
        <v/>
      </c>
      <c r="F54" s="226"/>
      <c r="G54" s="226"/>
      <c r="H54" s="226"/>
      <c r="I54" s="227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37"/>
      <c r="Z54" s="228"/>
      <c r="AA54" s="228"/>
      <c r="AB54" s="163"/>
    </row>
    <row r="55" spans="1:28" ht="39" customHeight="1" x14ac:dyDescent="0.25">
      <c r="A55" s="163"/>
      <c r="B55" s="164"/>
      <c r="C55" s="163"/>
      <c r="D55" s="165"/>
      <c r="E55" s="224" t="str">
        <f t="shared" ca="1" si="6"/>
        <v/>
      </c>
      <c r="F55" s="226"/>
      <c r="G55" s="226"/>
      <c r="H55" s="226"/>
      <c r="I55" s="227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37"/>
      <c r="Z55" s="228"/>
      <c r="AA55" s="228"/>
      <c r="AB55" s="163"/>
    </row>
    <row r="56" spans="1:28" ht="39" customHeight="1" x14ac:dyDescent="0.25">
      <c r="A56" s="163"/>
      <c r="B56" s="164"/>
      <c r="C56" s="163"/>
      <c r="D56" s="165"/>
      <c r="E56" s="224" t="str">
        <f t="shared" ca="1" si="6"/>
        <v/>
      </c>
      <c r="F56" s="226"/>
      <c r="G56" s="226"/>
      <c r="H56" s="226"/>
      <c r="I56" s="227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37"/>
      <c r="Z56" s="228"/>
      <c r="AA56" s="228"/>
      <c r="AB56" s="163"/>
    </row>
    <row r="57" spans="1:28" ht="39" customHeight="1" x14ac:dyDescent="0.25">
      <c r="A57" s="163"/>
      <c r="B57" s="164"/>
      <c r="C57" s="163"/>
      <c r="D57" s="165"/>
      <c r="E57" s="224" t="str">
        <f t="shared" ca="1" si="6"/>
        <v/>
      </c>
      <c r="F57" s="226"/>
      <c r="G57" s="226"/>
      <c r="H57" s="226"/>
      <c r="I57" s="227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37"/>
      <c r="Z57" s="228"/>
      <c r="AA57" s="228"/>
      <c r="AB57" s="163"/>
    </row>
    <row r="58" spans="1:28" ht="39" customHeight="1" x14ac:dyDescent="0.25">
      <c r="A58" s="163"/>
      <c r="B58" s="164"/>
      <c r="C58" s="163"/>
      <c r="D58" s="165"/>
      <c r="E58" s="224" t="str">
        <f t="shared" ca="1" si="6"/>
        <v/>
      </c>
      <c r="F58" s="226"/>
      <c r="G58" s="226"/>
      <c r="H58" s="226"/>
      <c r="I58" s="227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37"/>
      <c r="Z58" s="228"/>
      <c r="AA58" s="228"/>
      <c r="AB58" s="163"/>
    </row>
    <row r="59" spans="1:28" ht="39" customHeight="1" x14ac:dyDescent="0.25">
      <c r="A59" s="163"/>
      <c r="B59" s="164"/>
      <c r="C59" s="163"/>
      <c r="D59" s="165"/>
      <c r="E59" s="224" t="str">
        <f t="shared" ca="1" si="6"/>
        <v/>
      </c>
      <c r="F59" s="226"/>
      <c r="G59" s="226"/>
      <c r="H59" s="226"/>
      <c r="I59" s="227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37"/>
      <c r="Z59" s="228"/>
      <c r="AA59" s="228"/>
      <c r="AB59" s="163"/>
    </row>
    <row r="60" spans="1:28" ht="39" customHeight="1" x14ac:dyDescent="0.25">
      <c r="A60" s="163"/>
      <c r="B60" s="164"/>
      <c r="C60" s="163"/>
      <c r="D60" s="165"/>
      <c r="E60" s="224" t="str">
        <f t="shared" ca="1" si="6"/>
        <v/>
      </c>
      <c r="F60" s="226"/>
      <c r="G60" s="226"/>
      <c r="H60" s="226"/>
      <c r="I60" s="227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37"/>
      <c r="Z60" s="228"/>
      <c r="AA60" s="228"/>
      <c r="AB60" s="163"/>
    </row>
    <row r="61" spans="1:28" ht="39" customHeight="1" x14ac:dyDescent="0.25">
      <c r="A61" s="163"/>
      <c r="B61" s="164"/>
      <c r="C61" s="163"/>
      <c r="D61" s="165"/>
      <c r="E61" s="178"/>
      <c r="F61" s="226"/>
      <c r="G61" s="226"/>
      <c r="H61" s="226"/>
      <c r="I61" s="227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37"/>
      <c r="Z61" s="228"/>
      <c r="AA61" s="228"/>
      <c r="AB61" s="163"/>
    </row>
    <row r="62" spans="1:28" ht="39" customHeight="1" x14ac:dyDescent="0.25">
      <c r="A62" s="163"/>
      <c r="B62" s="164"/>
      <c r="C62" s="163"/>
      <c r="D62" s="165"/>
      <c r="E62" s="178"/>
      <c r="F62" s="226"/>
      <c r="G62" s="226"/>
      <c r="H62" s="226"/>
      <c r="I62" s="227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37"/>
      <c r="Z62" s="228"/>
      <c r="AA62" s="228"/>
      <c r="AB62" s="163"/>
    </row>
    <row r="63" spans="1:28" ht="39" customHeight="1" x14ac:dyDescent="0.25">
      <c r="A63" s="163"/>
      <c r="B63" s="164"/>
      <c r="C63" s="163"/>
      <c r="D63" s="165"/>
      <c r="E63" s="178"/>
      <c r="F63" s="226"/>
      <c r="G63" s="226"/>
      <c r="H63" s="226"/>
      <c r="I63" s="227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37"/>
      <c r="Z63" s="228"/>
      <c r="AA63" s="228"/>
      <c r="AB63" s="163"/>
    </row>
    <row r="64" spans="1:28" ht="39" customHeight="1" x14ac:dyDescent="0.25">
      <c r="A64" s="163"/>
      <c r="B64" s="164"/>
      <c r="C64" s="163"/>
      <c r="D64" s="165"/>
      <c r="E64" s="178"/>
      <c r="F64" s="226"/>
      <c r="G64" s="226"/>
      <c r="H64" s="226"/>
      <c r="I64" s="227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37"/>
      <c r="Z64" s="228"/>
      <c r="AA64" s="228"/>
      <c r="AB64" s="163"/>
    </row>
    <row r="65" spans="1:28" ht="39" customHeight="1" x14ac:dyDescent="0.25">
      <c r="A65" s="163"/>
      <c r="B65" s="164"/>
      <c r="C65" s="163"/>
      <c r="D65" s="165"/>
      <c r="E65" s="178"/>
      <c r="F65" s="226"/>
      <c r="G65" s="226"/>
      <c r="H65" s="226"/>
      <c r="I65" s="227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37"/>
      <c r="Z65" s="228"/>
      <c r="AA65" s="228"/>
      <c r="AB65" s="163"/>
    </row>
    <row r="66" spans="1:28" ht="39" customHeight="1" x14ac:dyDescent="0.25">
      <c r="A66" s="163"/>
      <c r="B66" s="164"/>
      <c r="C66" s="163"/>
      <c r="D66" s="165"/>
      <c r="E66" s="178"/>
      <c r="F66" s="226"/>
      <c r="G66" s="226"/>
      <c r="H66" s="226"/>
      <c r="I66" s="227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37"/>
      <c r="Z66" s="228"/>
      <c r="AA66" s="228"/>
      <c r="AB66" s="163"/>
    </row>
    <row r="67" spans="1:28" ht="39" customHeight="1" x14ac:dyDescent="0.25">
      <c r="A67" s="163"/>
      <c r="B67" s="164"/>
      <c r="C67" s="163"/>
      <c r="D67" s="165"/>
      <c r="E67" s="178"/>
      <c r="F67" s="226"/>
      <c r="G67" s="226"/>
      <c r="H67" s="226"/>
      <c r="I67" s="227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37"/>
      <c r="Z67" s="228"/>
      <c r="AA67" s="228"/>
      <c r="AB67" s="163"/>
    </row>
  </sheetData>
  <mergeCells count="6">
    <mergeCell ref="D1:K1"/>
    <mergeCell ref="L1:Z1"/>
    <mergeCell ref="D2:K2"/>
    <mergeCell ref="L2:Z2"/>
    <mergeCell ref="D3:K3"/>
    <mergeCell ref="L3:Z3"/>
  </mergeCells>
  <conditionalFormatting sqref="E23:Z24">
    <cfRule type="cellIs" dxfId="0" priority="1" operator="lessThan">
      <formula>0</formula>
    </cfRule>
  </conditionalFormatting>
  <pageMargins left="0.38" right="0.7" top="0.34" bottom="0.31" header="0.3" footer="0.3"/>
  <pageSetup paperSize="14" scale="5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Setup</vt:lpstr>
      <vt:lpstr>Income</vt:lpstr>
      <vt:lpstr>Expenses</vt:lpstr>
      <vt:lpstr>Summary</vt:lpstr>
      <vt:lpstr>A</vt:lpstr>
      <vt:lpstr>Balance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Risma</dc:creator>
  <cp:lastModifiedBy>user</cp:lastModifiedBy>
  <cp:lastPrinted>2021-11-10T03:49:31Z</cp:lastPrinted>
  <dcterms:created xsi:type="dcterms:W3CDTF">2021-08-23T14:45:45Z</dcterms:created>
  <dcterms:modified xsi:type="dcterms:W3CDTF">2026-04-16T02:58:49Z</dcterms:modified>
</cp:coreProperties>
</file>